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dev\oak5\oak5\Operis.Analysis\Reporting\Resources\"/>
    </mc:Choice>
  </mc:AlternateContent>
  <xr:revisionPtr revIDLastSave="0" documentId="8_{59D27A05-939C-40B3-965F-1B5E153DC832}" xr6:coauthVersionLast="46" xr6:coauthVersionMax="46" xr10:uidLastSave="{00000000-0000-0000-0000-000000000000}"/>
  <bookViews>
    <workbookView xWindow="10" yWindow="0" windowWidth="19190" windowHeight="10200" firstSheet="1" activeTab="3" xr2:uid="{00000000-000D-0000-FFFF-FFFF00000000}"/>
  </bookViews>
  <sheets>
    <sheet name="OAK Workbook Summary" sheetId="8" r:id="rId1"/>
    <sheet name="OAK Distinct Formulas" sheetId="3" r:id="rId2"/>
    <sheet name="OAK Referred Constants" sheetId="2" r:id="rId3"/>
    <sheet name="OAK Risk Analysis" sheetId="15" r:id="rId4"/>
    <sheet name="OAK Cross-References" sheetId="16" r:id="rId5"/>
    <sheet name="Map- Cover Page" sheetId="31" r:id="rId6"/>
    <sheet name="Map-" sheetId="34" r:id="rId7"/>
    <sheet name="Name Database" sheetId="22" r:id="rId8"/>
    <sheet name="Overlapping Ranges" sheetId="23" r:id="rId9"/>
    <sheet name="OAK Comparison Summary" sheetId="25" r:id="rId10"/>
    <sheet name="OAK Name Comparison" sheetId="27" r:id="rId11"/>
    <sheet name="Compare-" sheetId="29" r:id="rId12"/>
    <sheet name="OAK Range Comparison" sheetId="33" r:id="rId13"/>
  </sheets>
  <definedNames>
    <definedName name="_xlnm._FilterDatabase" localSheetId="7" hidden="1">'Name Database'!$A$8:$N$8</definedName>
    <definedName name="_xlnm.Print_Area" localSheetId="0">'OAK Workbook Summary'!$A$1:$W$12</definedName>
    <definedName name="_xlnm.Print_Titles" localSheetId="11">'Compare-'!$9:$9</definedName>
    <definedName name="_xlnm.Print_Titles" localSheetId="7">'Name Database'!$8:$8</definedName>
    <definedName name="_xlnm.Print_Titles" localSheetId="9">'OAK Comparison Summary'!$9:$9</definedName>
    <definedName name="_xlnm.Print_Titles" localSheetId="4">'OAK Cross-References'!$11:$11</definedName>
    <definedName name="_xlnm.Print_Titles" localSheetId="1">'OAK Distinct Formulas'!$11:$11</definedName>
    <definedName name="_xlnm.Print_Titles" localSheetId="10">'OAK Name Comparison'!$9:$9</definedName>
    <definedName name="_xlnm.Print_Titles" localSheetId="2">'OAK Referred Constants'!$10:$10</definedName>
    <definedName name="_xlnm.Print_Titles" localSheetId="3">'OAK Risk Analysis'!$11:$16</definedName>
    <definedName name="_xlnm.Print_Titles" localSheetId="0">'OAK Workbook Summary'!$12:$12</definedName>
    <definedName name="_xlnm.Print_Titles" localSheetId="8">'Overlapping Ranges'!$8:$8</definedName>
    <definedName name="Weights" localSheetId="3">'OAK Risk Analysis'!$G$12:$U$12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5" l="1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H14" i="15"/>
  <c r="F14" i="15"/>
  <c r="E1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Operis</author>
  </authors>
  <commentList>
    <comment ref="E12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
An indication of whether the used range (located using Ctrl+End) is significantly outside the range of non-blank cells;</t>
        </r>
      </text>
    </comment>
    <comment ref="F12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
An indication of whether the used range (located using Ctrl+End) is significantly outside the range of non-blank cells;</t>
        </r>
      </text>
    </comment>
    <comment ref="H12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
Identifies worksheets whose used range, as defined by Excel, is much larger than the region on the worksheet which actually contains information.
&gt;Rows -between 10 and 20 blank rows at the bottom of the used range;
&gt;&gt;Rows - more than 20 blank rows at the bottom of the used range;
&gt;Columns - between 10 and 20 blank columns on the right-hand edge of the used range;
&gt;&gt;Columns - more than 20 blank columns on the right-hand edge of the used range.</t>
        </r>
      </text>
    </comment>
    <comment ref="K12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
A distinct formula is one which is inconsistent with the formula in the cell to its left and with the formula in the cell above.</t>
        </r>
      </text>
    </comment>
    <comment ref="O12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
One of the following:
#NULL!, #DIV/0!, #VALUE!, #REF!, #NAME?, #NUM!, or #N/A.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Operis</author>
  </authors>
  <commentList>
    <comment ref="D11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
Number of elements which make up the formula, and is therefore useful in estimating how complicated each formula is.</t>
        </r>
      </text>
    </comment>
    <comment ref="E11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
How many cells contain the same formula.</t>
        </r>
      </text>
    </comment>
    <comment ref="F11" authorId="0" shapeId="0" xr:uid="{5AC1634E-5111-429B-8E62-230F88A4FD7A}">
      <text>
        <r>
          <rPr>
            <sz val="9"/>
            <color indexed="81"/>
            <rFont val="Tahoma"/>
            <family val="2"/>
          </rPr>
          <t xml:space="preserve">
How many cells contain the same spill formula.</t>
        </r>
      </text>
    </comment>
    <comment ref="G11" authorId="0" shapeId="0" xr:uid="{00000000-0006-0000-0100-000003000000}">
      <text>
        <r>
          <rPr>
            <sz val="9"/>
            <color indexed="81"/>
            <rFont val="Tahoma"/>
            <family val="2"/>
          </rPr>
          <t>“Operis is working on a version of OAK that can make sense of '@' and '#' operators that Excel had introduced for dynamic arrays. Until that is ready, OAK will return '(ANALYSIS FAILED)' for formulas that use these operators.”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Operis</author>
    <author>Rui Sobreiros</author>
  </authors>
  <commentList>
    <comment ref="D1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
The default weights reflect Operis's philosophy, but users can override them to reflect their own assumptions.
</t>
        </r>
      </text>
    </comment>
    <comment ref="D16" authorId="1" shapeId="0" xr:uid="{2091C950-1C66-45B7-B4D1-96AB13393114}">
      <text>
        <r>
          <rPr>
            <sz val="9"/>
            <color indexed="81"/>
            <rFont val="Tahoma"/>
            <family val="2"/>
          </rPr>
          <t>“Operis is working on a version of OAK that can make sense of '@' and '#' operators that Excel had introduced for dynamic arrays. Until that is ready, OAK will return '(ANALYSIS FAILED)' for formulas that use these operators.”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Operis</author>
    <author>Simeon Ayling</author>
  </authors>
  <commentList>
    <comment ref="L1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This is a formula that is not consistent with either the cell above or to the left.</t>
        </r>
      </text>
    </comment>
    <comment ref="L17" authorId="1" shapeId="0" xr:uid="{BEC6CF8A-36AB-4307-9A1E-587F5E23C495}">
      <text>
        <r>
          <rPr>
            <b/>
            <sz val="9"/>
            <color indexed="81"/>
            <rFont val="Tahoma"/>
            <family val="2"/>
          </rPr>
          <t>This is a formula that is not consistent with either the cell above or to the left.</t>
        </r>
      </text>
    </comment>
  </commentList>
</comments>
</file>

<file path=xl/sharedStrings.xml><?xml version="1.0" encoding="utf-8"?>
<sst xmlns="http://schemas.openxmlformats.org/spreadsheetml/2006/main" count="216" uniqueCount="151">
  <si>
    <t>Sheet</t>
  </si>
  <si>
    <t>Type</t>
  </si>
  <si>
    <t>Execution</t>
  </si>
  <si>
    <t>Last Non-Blank Row</t>
  </si>
  <si>
    <t>Last Non-Blank Col</t>
  </si>
  <si>
    <t>Cells</t>
  </si>
  <si>
    <t>Formula Cells</t>
  </si>
  <si>
    <t>% Formula Cells</t>
  </si>
  <si>
    <t>Distinct Formulas</t>
  </si>
  <si>
    <t>% Distinct Formulas</t>
  </si>
  <si>
    <t>Error Formulas</t>
  </si>
  <si>
    <t>% Error Formulas</t>
  </si>
  <si>
    <t>Constant Cells</t>
  </si>
  <si>
    <t>% Constant Cells</t>
  </si>
  <si>
    <t>Number of Arrays</t>
  </si>
  <si>
    <t>% Array Cells</t>
  </si>
  <si>
    <t>% Merged Cells</t>
  </si>
  <si>
    <t>Note: A formula may be reported more than once if it occurs in different parts of the Worksheet.</t>
  </si>
  <si>
    <t>Worksheet</t>
  </si>
  <si>
    <t>Address</t>
  </si>
  <si>
    <t>Complexity</t>
  </si>
  <si>
    <t>Frequency</t>
  </si>
  <si>
    <t>External Refs</t>
  </si>
  <si>
    <t>Formula</t>
  </si>
  <si>
    <t>Value</t>
  </si>
  <si>
    <t>Workbook Summary</t>
  </si>
  <si>
    <t>Referred Constants Listing</t>
  </si>
  <si>
    <t>Lists Referred Constants: Cells containing a constant alpha/numeric value that are referred to by at least one other cell. NOTE: labels are NOT included.</t>
  </si>
  <si>
    <t>Lists distinct formulae (i.e. those formulae that are not consistent with the formulae in both the cell above and the cell to the left) in each block of cells.</t>
  </si>
  <si>
    <t>The Workbook Summary tool produces an easily understood report that summarises the key features of a financial model, such as the number of worksheets, formulae and errors. An invaluable tool in providing an instant snapshot of the model’s structure, size and complexity.</t>
  </si>
  <si>
    <t>Explore what each metric means by clicking on the cell note on the top legend.</t>
  </si>
  <si>
    <t>Name</t>
  </si>
  <si>
    <t>#</t>
  </si>
  <si>
    <t>Risk</t>
  </si>
  <si>
    <t>Nesting 3+</t>
  </si>
  <si>
    <t>Nesting 5+</t>
  </si>
  <si>
    <t>Nesting 7+</t>
  </si>
  <si>
    <t>OFFSET</t>
  </si>
  <si>
    <t>INDIRECT</t>
  </si>
  <si>
    <t>LOOKUPs</t>
  </si>
  <si>
    <t>IFERROR</t>
  </si>
  <si>
    <t>Hardcoded Constants</t>
  </si>
  <si>
    <t>Matched Names</t>
  </si>
  <si>
    <t>Unmatched Names</t>
  </si>
  <si>
    <t>Cell References</t>
  </si>
  <si>
    <t>Cells Referenced</t>
  </si>
  <si>
    <t>Variable Ranges</t>
  </si>
  <si>
    <t>Errors</t>
  </si>
  <si>
    <t>Risk Weighting</t>
  </si>
  <si>
    <t>Risk Score</t>
  </si>
  <si>
    <t>Totals</t>
  </si>
  <si>
    <t>Count</t>
  </si>
  <si>
    <t>Score</t>
  </si>
  <si>
    <t>Nested 3+</t>
  </si>
  <si>
    <t>Nested 5+</t>
  </si>
  <si>
    <t>Nested 7+</t>
  </si>
  <si>
    <t>X</t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</si>
  <si>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>DCLG demo.xls</t>
    </r>
  </si>
  <si>
    <r>
      <rPr>
        <b/>
        <sz val="9"/>
        <color indexed="9"/>
        <rFont val="Arial"/>
        <family val="2"/>
      </rPr>
      <t>Report Generated:</t>
    </r>
    <r>
      <rPr>
        <sz val="9"/>
        <color indexed="9"/>
        <rFont val="Arial"/>
        <family val="2"/>
      </rPr>
      <t xml:space="preserve">  January 2, 2018 2:25:59 PM</t>
    </r>
  </si>
  <si>
    <r>
      <rPr>
        <b/>
        <sz val="9"/>
        <color indexed="9"/>
        <rFont val="Arial"/>
        <family val="2"/>
      </rPr>
      <t>Report Generated:</t>
    </r>
    <r>
      <rPr>
        <sz val="9"/>
        <color indexed="9"/>
        <rFont val="Arial"/>
        <family val="2"/>
      </rPr>
      <t xml:space="preserve"> January 2, 2018 2:25:59 PM</t>
    </r>
  </si>
  <si>
    <t>Risk Analysis Report</t>
  </si>
  <si>
    <t>The risk analysis report lists all of the distinct formulas in the workbook or selected worksheets, along with a count of the number of occurrences of a selection of formula elements.</t>
  </si>
  <si>
    <t>These are summed, and the total for each element is multiplied by a corresponding risk weighting coefficient, and these products are summed to produce an overall risk score for the workbook or selected worksheets.</t>
  </si>
  <si>
    <t>Cross References Report</t>
  </si>
  <si>
    <t>*</t>
  </si>
  <si>
    <t>&lt;</t>
  </si>
  <si>
    <t>^</t>
  </si>
  <si>
    <t>+</t>
  </si>
  <si>
    <t>Formula cells: each distinct formula is reported in a cell comment</t>
  </si>
  <si>
    <t>Distinct Formula</t>
  </si>
  <si>
    <t>Formula consistent with cell to left</t>
  </si>
  <si>
    <t>Formula consistent with cell above</t>
  </si>
  <si>
    <t>Formula consistent with cells above and to the left</t>
  </si>
  <si>
    <t>Constant cells: values can optionally be copied to the report</t>
  </si>
  <si>
    <t>Text constant</t>
  </si>
  <si>
    <t>Logical constant (value T/F)</t>
  </si>
  <si>
    <t>L</t>
  </si>
  <si>
    <t>Numeric Constant</t>
  </si>
  <si>
    <t>Other Features</t>
  </si>
  <si>
    <t>Error Cell</t>
  </si>
  <si>
    <t>Err</t>
  </si>
  <si>
    <t>Named Range</t>
  </si>
  <si>
    <t>Print Area, Print Titles</t>
  </si>
  <si>
    <t>Array</t>
  </si>
  <si>
    <t>Full Name</t>
  </si>
  <si>
    <t>Short Name</t>
  </si>
  <si>
    <t>Defined on Sheet</t>
  </si>
  <si>
    <t>Refers to Sheet</t>
  </si>
  <si>
    <t xml:space="preserve">Areas    </t>
  </si>
  <si>
    <t xml:space="preserve">Top    </t>
  </si>
  <si>
    <t xml:space="preserve">Bottom    </t>
  </si>
  <si>
    <t xml:space="preserve">Height    </t>
  </si>
  <si>
    <t xml:space="preserve">Left    </t>
  </si>
  <si>
    <t xml:space="preserve">Right    </t>
  </si>
  <si>
    <t xml:space="preserve">Width    </t>
  </si>
  <si>
    <t xml:space="preserve">Hidden    </t>
  </si>
  <si>
    <t>Name1</t>
  </si>
  <si>
    <t>Range1</t>
  </si>
  <si>
    <t>Name2</t>
  </si>
  <si>
    <t>Range2</t>
  </si>
  <si>
    <t>Overlap</t>
  </si>
  <si>
    <t>Range Names Report</t>
  </si>
  <si>
    <t>Overlapping Range Names Report</t>
  </si>
  <si>
    <t>Worksheet in DCLG demo.xls</t>
  </si>
  <si>
    <t>Worksheet in DCLG demo compare.xlsx</t>
  </si>
  <si>
    <t>Number of cell differences found</t>
  </si>
  <si>
    <t>Rows inserted</t>
  </si>
  <si>
    <t>Columns inserted</t>
  </si>
  <si>
    <t>Comparison Summary Report</t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</si>
  <si>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>DCLG demo compare.xls</t>
    </r>
  </si>
  <si>
    <t>Scope</t>
  </si>
  <si>
    <t>Change</t>
  </si>
  <si>
    <t>RefersTo 1</t>
  </si>
  <si>
    <t>RefersTo 2</t>
  </si>
  <si>
    <t>Comment 1</t>
  </si>
  <si>
    <t>Comment 2</t>
  </si>
  <si>
    <t>Comparison of Names Report</t>
  </si>
  <si>
    <t>Range</t>
  </si>
  <si>
    <t>Change Type</t>
  </si>
  <si>
    <t>Cell contents on 1st Sheet</t>
  </si>
  <si>
    <t>Cell contents on 2nd Sheet</t>
  </si>
  <si>
    <t>Compare Report - Detailed</t>
  </si>
  <si>
    <t>Number of cell differences: 531</t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</si>
  <si>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 xml:space="preserve">DCLG demo compare.xls - </t>
    </r>
    <r>
      <rPr>
        <b/>
        <sz val="9"/>
        <color indexed="9"/>
        <rFont val="Arial"/>
        <family val="2"/>
      </rPr>
      <t>Sheet Name</t>
    </r>
    <r>
      <rPr>
        <sz val="9"/>
        <color indexed="9"/>
        <rFont val="Arial"/>
        <family val="2"/>
      </rPr>
      <t>: C (SB)</t>
    </r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</si>
  <si>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 xml:space="preserve">DCLG demo.xls - </t>
    </r>
    <r>
      <rPr>
        <b/>
        <sz val="9"/>
        <color indexed="9"/>
        <rFont val="Arial"/>
        <family val="2"/>
      </rPr>
      <t>Sheet Name:</t>
    </r>
    <r>
      <rPr>
        <sz val="9"/>
        <color indexed="9"/>
        <rFont val="Arial"/>
        <family val="2"/>
      </rPr>
      <t xml:space="preserve"> C (SB)</t>
    </r>
  </si>
  <si>
    <r>
      <rPr>
        <sz val="11"/>
        <color indexed="9"/>
        <rFont val="Arial"/>
        <family val="2"/>
      </rPr>
      <t>or email us</t>
    </r>
    <r>
      <rPr>
        <b/>
        <sz val="11"/>
        <color indexed="9"/>
        <rFont val="Arial"/>
        <family val="2"/>
      </rPr>
      <t>: OAK@operis.com</t>
    </r>
  </si>
  <si>
    <t>Need some help? Follow this link</t>
  </si>
  <si>
    <t>The OAK Review | Workbook | Map command generates a graphical map of the structure of every sheet in a workbook or of a selection</t>
  </si>
  <si>
    <t xml:space="preserve"> of the worksheets in a workbook, helping you to identify various worksheet features and to locate errors in the logic of the worksheets.</t>
  </si>
  <si>
    <t>Last Cell Location</t>
  </si>
  <si>
    <t>Array
Cells</t>
  </si>
  <si>
    <t>Merged
Cells</t>
  </si>
  <si>
    <t>Range 1</t>
  </si>
  <si>
    <t>Range 2</t>
  </si>
  <si>
    <t>Content of Range 1</t>
  </si>
  <si>
    <t>Content of Range 2</t>
  </si>
  <si>
    <t>Range Comparison (Formulas)</t>
  </si>
  <si>
    <t>Number of cell differences: 96</t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</si>
  <si>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 xml:space="preserve">DCLG demo.xls - </t>
    </r>
    <r>
      <rPr>
        <b/>
        <sz val="9"/>
        <color indexed="9"/>
        <rFont val="Arial"/>
        <family val="2"/>
      </rPr>
      <t>Range:</t>
    </r>
    <r>
      <rPr>
        <sz val="9"/>
        <color indexed="9"/>
        <rFont val="Arial"/>
        <family val="2"/>
      </rPr>
      <t xml:space="preserve"> C (SB)'!L13:S24</t>
    </r>
  </si>
  <si>
    <r>
      <rPr>
        <b/>
        <sz val="9"/>
        <color indexed="9"/>
        <rFont val="Arial"/>
        <family val="2"/>
      </rPr>
      <t xml:space="preserve">File Name: </t>
    </r>
    <r>
      <rPr>
        <sz val="9"/>
        <color indexed="9"/>
        <rFont val="Arial"/>
        <family val="2"/>
      </rPr>
      <t xml:space="preserve">DCLG demo compare.xls - </t>
    </r>
    <r>
      <rPr>
        <b/>
        <sz val="9"/>
        <color indexed="9"/>
        <rFont val="Arial"/>
        <family val="2"/>
      </rPr>
      <t>Range</t>
    </r>
    <r>
      <rPr>
        <sz val="9"/>
        <color indexed="9"/>
        <rFont val="Arial"/>
        <family val="2"/>
      </rPr>
      <t>: C (SB)'!L12:S23</t>
    </r>
  </si>
  <si>
    <r>
      <rPr>
        <b/>
        <sz val="9"/>
        <color indexed="9"/>
        <rFont val="Arial"/>
        <family val="2"/>
      </rPr>
      <t>Report Generated:</t>
    </r>
    <r>
      <rPr>
        <sz val="9"/>
        <color indexed="9"/>
        <rFont val="Arial"/>
        <family val="2"/>
      </rPr>
      <t xml:space="preserve"> </t>
    </r>
  </si>
  <si>
    <t>File Name:</t>
  </si>
  <si>
    <t>Mapping Report</t>
  </si>
  <si>
    <t>The cross references report shows the worksheets in the summarized workbook along the left and top of the report.</t>
  </si>
  <si>
    <t>The cell where two worksheets' column and row intersect shows the number of references from the worksheet on the top to the worksheet on the left.</t>
  </si>
  <si>
    <t>Dynamic Array Formula</t>
  </si>
  <si>
    <t>Formula is spilled from left</t>
  </si>
  <si>
    <t>Formula is spilled from above</t>
  </si>
  <si>
    <t>Dynamic Array Formulas</t>
  </si>
  <si>
    <t>Spilled Formulas</t>
  </si>
  <si>
    <t>Spilled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</si>
</sst>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0" x14ac:knownFonts="1">
    <font>
      <sz val="11"/>
      <color theme="1"/>
      <name val="Calibri"/>
      <family val="2"/>
      <scheme val="minor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9"/>
      <color theme="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0"/>
      <color rgb="FFC0C0C0"/>
      <name val="Arial"/>
      <family val="2"/>
    </font>
    <font>
      <sz val="11"/>
      <color rgb="FF000000"/>
      <name val="Calibri"/>
      <family val="2"/>
      <scheme val="minor"/>
    </font>
    <font>
      <u/>
      <sz val="10"/>
      <color theme="0"/>
      <name val="Arial"/>
      <family val="2"/>
    </font>
    <font>
      <u/>
      <sz val="11"/>
      <color theme="0"/>
      <name val="Arial"/>
      <family val="2"/>
    </font>
    <font>
      <b/>
      <sz val="11"/>
      <color theme="0"/>
      <name val="Arial"/>
      <family val="2"/>
    </font>
    <font>
      <sz val="11"/>
      <color rgb="FF0000FF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0"/>
      <name val="Arial"/>
      <family val="2"/>
    </font>
    <font>
      <b/>
      <sz val="1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6D1E7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rgb="FF008080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B323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/>
      <right/>
      <top/>
      <bottom style="thick">
        <color rgb="FFF8B323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3" fillId="2" borderId="0" xfId="0" applyFont="1" applyFill="1" applyAlignment="1">
      <alignment horizontal="left"/>
    </xf>
    <xf numFmtId="0" fontId="14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164" fontId="0" fillId="2" borderId="0" xfId="0" applyNumberFormat="1" applyFill="1" applyAlignment="1">
      <alignment horizontal="right"/>
    </xf>
    <xf numFmtId="0" fontId="0" fillId="2" borderId="0" xfId="0" applyFill="1"/>
    <xf numFmtId="0" fontId="15" fillId="2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0" fillId="3" borderId="0" xfId="0" applyFill="1"/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right"/>
    </xf>
    <xf numFmtId="164" fontId="4" fillId="3" borderId="0" xfId="0" applyNumberFormat="1" applyFont="1" applyFill="1" applyAlignment="1">
      <alignment horizontal="right"/>
    </xf>
    <xf numFmtId="0" fontId="4" fillId="3" borderId="0" xfId="0" applyFont="1" applyFill="1"/>
    <xf numFmtId="0" fontId="4" fillId="3" borderId="0" xfId="0" applyFont="1" applyFill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9" fillId="4" borderId="0" xfId="0" applyFont="1" applyFill="1"/>
    <xf numFmtId="0" fontId="0" fillId="0" borderId="3" xfId="0" applyBorder="1"/>
    <xf numFmtId="0" fontId="0" fillId="5" borderId="0" xfId="0" applyFill="1"/>
    <xf numFmtId="0" fontId="20" fillId="2" borderId="0" xfId="1" applyFont="1" applyFill="1" applyAlignment="1">
      <alignment horizontal="left"/>
    </xf>
    <xf numFmtId="0" fontId="22" fillId="2" borderId="0" xfId="0" applyFont="1" applyFill="1"/>
    <xf numFmtId="0" fontId="11" fillId="6" borderId="0" xfId="0" quotePrefix="1" applyFont="1" applyFill="1"/>
    <xf numFmtId="0" fontId="19" fillId="6" borderId="0" xfId="0" quotePrefix="1" applyFont="1" applyFill="1"/>
    <xf numFmtId="0" fontId="23" fillId="7" borderId="0" xfId="0" applyFont="1" applyFill="1"/>
    <xf numFmtId="0" fontId="23" fillId="8" borderId="0" xfId="0" quotePrefix="1" applyFont="1" applyFill="1"/>
    <xf numFmtId="0" fontId="23" fillId="9" borderId="0" xfId="0" quotePrefix="1" applyFont="1" applyFill="1"/>
    <xf numFmtId="0" fontId="0" fillId="0" borderId="4" xfId="0" applyBorder="1"/>
    <xf numFmtId="0" fontId="21" fillId="2" borderId="0" xfId="1" applyFont="1" applyFill="1" applyAlignment="1"/>
    <xf numFmtId="0" fontId="17" fillId="10" borderId="0" xfId="0" applyFont="1" applyFill="1" applyAlignment="1">
      <alignment wrapText="1"/>
    </xf>
    <xf numFmtId="0" fontId="0" fillId="0" borderId="1" xfId="0" applyBorder="1"/>
    <xf numFmtId="0" fontId="0" fillId="2" borderId="5" xfId="0" applyFill="1" applyBorder="1"/>
    <xf numFmtId="0" fontId="15" fillId="2" borderId="5" xfId="0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10" borderId="0" xfId="0" applyFill="1"/>
    <xf numFmtId="0" fontId="17" fillId="10" borderId="0" xfId="0" applyFont="1" applyFill="1" applyAlignment="1">
      <alignment horizontal="left"/>
    </xf>
    <xf numFmtId="0" fontId="17" fillId="10" borderId="0" xfId="0" applyFont="1" applyFill="1" applyAlignment="1">
      <alignment horizontal="right"/>
    </xf>
    <xf numFmtId="164" fontId="0" fillId="2" borderId="5" xfId="0" applyNumberFormat="1" applyFill="1" applyBorder="1" applyAlignment="1">
      <alignment horizontal="right"/>
    </xf>
    <xf numFmtId="0" fontId="24" fillId="10" borderId="1" xfId="0" applyFont="1" applyFill="1" applyBorder="1"/>
    <xf numFmtId="0" fontId="10" fillId="10" borderId="0" xfId="0" applyFont="1" applyFill="1"/>
    <xf numFmtId="0" fontId="10" fillId="10" borderId="1" xfId="0" applyFont="1" applyFill="1" applyBorder="1"/>
    <xf numFmtId="0" fontId="0" fillId="10" borderId="1" xfId="0" applyFill="1" applyBorder="1"/>
    <xf numFmtId="0" fontId="13" fillId="2" borderId="5" xfId="0" applyFont="1" applyFill="1" applyBorder="1" applyAlignment="1">
      <alignment horizontal="left"/>
    </xf>
    <xf numFmtId="0" fontId="22" fillId="2" borderId="5" xfId="0" applyFont="1" applyFill="1" applyBorder="1" applyAlignment="1">
      <alignment horizontal="left"/>
    </xf>
    <xf numFmtId="0" fontId="4" fillId="3" borderId="0" xfId="0" applyFont="1" applyFill="1" applyAlignment="1">
      <alignment horizontal="left" vertical="center" wrapText="1"/>
    </xf>
    <xf numFmtId="0" fontId="17" fillId="10" borderId="0" xfId="0" applyFont="1" applyFill="1" applyAlignment="1">
      <alignment horizontal="left" wrapText="1"/>
    </xf>
    <xf numFmtId="0" fontId="14" fillId="2" borderId="0" xfId="0" applyFont="1" applyFill="1" applyAlignment="1">
      <alignment horizontal="left"/>
    </xf>
    <xf numFmtId="0" fontId="4" fillId="3" borderId="0" xfId="0" applyFont="1" applyFill="1" applyAlignment="1">
      <alignment horizontal="right" vertical="center" wrapText="1"/>
    </xf>
    <xf numFmtId="0" fontId="17" fillId="10" borderId="0" xfId="0" applyFont="1" applyFill="1" applyAlignment="1">
      <alignment horizontal="right" wrapText="1"/>
    </xf>
    <xf numFmtId="0" fontId="25" fillId="2" borderId="0" xfId="0" applyFont="1" applyFill="1" applyAlignment="1">
      <alignment horizontal="left"/>
    </xf>
    <xf numFmtId="0" fontId="26" fillId="10" borderId="0" xfId="0" applyFont="1" applyFill="1" applyAlignment="1">
      <alignment textRotation="135"/>
    </xf>
    <xf numFmtId="0" fontId="27" fillId="10" borderId="0" xfId="0" applyFont="1" applyFill="1" applyAlignment="1">
      <alignment textRotation="135"/>
    </xf>
    <xf numFmtId="0" fontId="26" fillId="11" borderId="0" xfId="0" applyFont="1" applyFill="1" applyAlignment="1">
      <alignment textRotation="135"/>
    </xf>
    <xf numFmtId="0" fontId="27" fillId="10" borderId="0" xfId="0" applyFont="1" applyFill="1" applyAlignment="1">
      <alignment horizontal="left" textRotation="135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/>
    </xf>
    <xf numFmtId="164" fontId="29" fillId="2" borderId="0" xfId="0" applyNumberFormat="1" applyFont="1" applyFill="1" applyAlignment="1">
      <alignment horizontal="left"/>
    </xf>
    <xf numFmtId="0" fontId="26" fillId="2" borderId="0" xfId="0" applyFont="1" applyFill="1" applyAlignment="1">
      <alignment horizontal="left"/>
    </xf>
    <xf numFmtId="0" fontId="28" fillId="2" borderId="5" xfId="0" applyFont="1" applyFill="1" applyBorder="1" applyAlignment="1">
      <alignment horizontal="left" vertical="center"/>
    </xf>
    <xf numFmtId="0" fontId="26" fillId="2" borderId="5" xfId="0" applyFont="1" applyFill="1" applyBorder="1" applyAlignment="1">
      <alignment horizontal="left"/>
    </xf>
    <xf numFmtId="164" fontId="26" fillId="2" borderId="0" xfId="0" applyNumberFormat="1" applyFont="1" applyFill="1" applyAlignment="1">
      <alignment horizontal="left"/>
    </xf>
    <xf numFmtId="164" fontId="26" fillId="2" borderId="5" xfId="0" applyNumberFormat="1" applyFont="1" applyFill="1" applyBorder="1" applyAlignment="1">
      <alignment horizontal="left"/>
    </xf>
    <xf numFmtId="0" fontId="20" fillId="2" borderId="0" xfId="1" applyFont="1" applyFill="1" applyAlignment="1"/>
    <xf numFmtId="0" fontId="26" fillId="2" borderId="0" xfId="0" applyFont="1" applyFill="1" applyAlignment="1">
      <alignment horizontal="centerContinuous"/>
    </xf>
    <xf numFmtId="0" fontId="29" fillId="2" borderId="0" xfId="0" applyFont="1" applyFill="1" applyAlignment="1">
      <alignment horizontal="center"/>
    </xf>
    <xf numFmtId="0" fontId="22" fillId="2" borderId="0" xfId="0" applyFont="1" applyFill="1" applyAlignment="1"/>
    <xf numFmtId="0" fontId="0" fillId="0" borderId="0" xfId="0"/>
    <xf numFmtId="0" fontId="11" fillId="12" borderId="0" xfId="0" quotePrefix="1" applyFont="1" applyFill="1"/>
    <xf numFmtId="0" fontId="19" fillId="12" borderId="0" xfId="0" quotePrefix="1" applyFont="1" applyFill="1"/>
    <xf numFmtId="0" fontId="0" fillId="10" borderId="2" xfId="0" applyFill="1" applyBorder="1" applyAlignment="1">
      <alignment horizontal="right"/>
    </xf>
    <xf numFmtId="0" fontId="0" fillId="0" borderId="0" xfId="0" applyNumberFormat="1" applyAlignment="1">
      <alignment horizontal="right"/>
    </xf>
    <xf numFmtId="0" fontId="17" fillId="10" borderId="0" xfId="0" applyFont="1" applyFill="1" applyAlignment="1">
      <alignment horizontal="right" wrapText="1"/>
    </xf>
    <xf numFmtId="0" fontId="4" fillId="3" borderId="0" xfId="0" applyFont="1" applyFill="1" applyAlignment="1">
      <alignment horizontal="left" vertical="center" wrapText="1"/>
    </xf>
    <xf numFmtId="0" fontId="20" fillId="2" borderId="0" xfId="1" applyFont="1" applyFill="1" applyAlignment="1">
      <alignment horizontal="left"/>
    </xf>
    <xf numFmtId="0" fontId="22" fillId="2" borderId="0" xfId="0" applyFont="1" applyFill="1" applyAlignment="1">
      <alignment horizontal="left"/>
    </xf>
  </cellXfs>
  <cellStyles count="3">
    <cellStyle name="Hyperlink" xfId="1" builtinId="8"/>
    <cellStyle name="Hyperlink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operisanalysiskit.com/try-oak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operisanalysiskit.com/try-oak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operisanalysiskit.com/try-oak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operisanalysiskit.com/try-oak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operisanalysiskit.com/try-oak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operisanalysiskit.com/try-oak/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operisanalysiskit.com/try-oak/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operisanalysiskit.com/try-oak/" TargetMode="Externa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s://www.operisanalysiskit.com/try-oak/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s://www.operisanalysiskit.com/try-oak/" TargetMode="Externa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operisanalysiskit.com/try-oak/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operisanalysiskit.com/try-oak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120650</xdr:colOff>
      <xdr:row>1</xdr:row>
      <xdr:rowOff>76200</xdr:rowOff>
    </xdr:from>
    <xdr:to>
      <xdr:col>1</xdr:col>
      <xdr:colOff>2025650</xdr:colOff>
      <xdr:row>4</xdr:row>
      <xdr:rowOff>133350</xdr:rowOff>
    </xdr:to>
    <xdr:pic>
      <xdr:nvPicPr>
        <xdr:cNvPr id="1044" name="Pictur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4D1906-0870-4CC6-9BCC-864880FE9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89"/>
        <a:stretch>
          <a:fillRect/>
        </a:stretch>
      </xdr:blipFill>
      <xdr:spPr bwMode="auto">
        <a:xfrm>
          <a:off x="123825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1</xdr:row>
      <xdr:rowOff>76200</xdr:rowOff>
    </xdr:from>
    <xdr:to>
      <xdr:col>1</xdr:col>
      <xdr:colOff>2028825</xdr:colOff>
      <xdr:row>4</xdr:row>
      <xdr:rowOff>133350</xdr:rowOff>
    </xdr:to>
    <xdr:pic>
      <xdr:nvPicPr>
        <xdr:cNvPr id="6" name="Pictur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946162-F72D-4B5E-A261-C73E9ED68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89"/>
        <a:stretch>
          <a:fillRect/>
        </a:stretch>
      </xdr:blipFill>
      <xdr:spPr bwMode="auto">
        <a:xfrm>
          <a:off x="123825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122400</xdr:colOff>
      <xdr:row>1</xdr:row>
      <xdr:rowOff>76200</xdr:rowOff>
    </xdr:from>
    <xdr:to>
      <xdr:col>1</xdr:col>
      <xdr:colOff>2027400</xdr:colOff>
      <xdr:row>4</xdr:row>
      <xdr:rowOff>133350</xdr:rowOff>
    </xdr:to>
    <xdr:pic>
      <xdr:nvPicPr>
        <xdr:cNvPr id="3082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BAB94C-9616-4EA4-B62D-DD031B9CB1D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56" r="-461"/>
        <a:stretch/>
      </xdr:blipFill>
      <xdr:spPr bwMode="auto">
        <a:xfrm>
          <a:off x="122400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76200</xdr:rowOff>
    </xdr:from>
    <xdr:to>
      <xdr:col>1</xdr:col>
      <xdr:colOff>2025650</xdr:colOff>
      <xdr:row>4</xdr:row>
      <xdr:rowOff>133350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73C825-6176-47A9-A635-D20130D937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56" r="-461"/>
        <a:stretch/>
      </xdr:blipFill>
      <xdr:spPr bwMode="auto">
        <a:xfrm>
          <a:off x="123825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78000</xdr:rowOff>
    </xdr:from>
    <xdr:to>
      <xdr:col>1</xdr:col>
      <xdr:colOff>2028825</xdr:colOff>
      <xdr:row>4</xdr:row>
      <xdr:rowOff>135150</xdr:rowOff>
    </xdr:to>
    <xdr:pic>
      <xdr:nvPicPr>
        <xdr:cNvPr id="5130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4BED5B-F802-4C6E-AACF-B6E06299888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89" b="-6600"/>
        <a:stretch/>
      </xdr:blipFill>
      <xdr:spPr bwMode="auto">
        <a:xfrm>
          <a:off x="123825" y="2304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38100</xdr:rowOff>
    </xdr:from>
    <xdr:to>
      <xdr:col>7</xdr:col>
      <xdr:colOff>142875</xdr:colOff>
      <xdr:row>3</xdr:row>
      <xdr:rowOff>180975</xdr:rowOff>
    </xdr:to>
    <xdr:pic>
      <xdr:nvPicPr>
        <xdr:cNvPr id="37900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5B334E-0857-4EE4-A37F-DB3C9532639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56" r="-89"/>
        <a:stretch>
          <a:fillRect/>
        </a:stretch>
      </xdr:blipFill>
      <xdr:spPr bwMode="auto">
        <a:xfrm>
          <a:off x="123825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76200</xdr:rowOff>
    </xdr:from>
    <xdr:to>
      <xdr:col>1</xdr:col>
      <xdr:colOff>1238250</xdr:colOff>
      <xdr:row>4</xdr:row>
      <xdr:rowOff>133350</xdr:rowOff>
    </xdr:to>
    <xdr:pic>
      <xdr:nvPicPr>
        <xdr:cNvPr id="38936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DEF84A-B429-40AB-94AB-4F143DD89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89" b="-6631"/>
        <a:stretch>
          <a:fillRect/>
        </a:stretch>
      </xdr:blipFill>
      <xdr:spPr bwMode="auto">
        <a:xfrm>
          <a:off x="123825" y="2286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</xdr:colOff>
      <xdr:row>1</xdr:row>
      <xdr:rowOff>78000</xdr:rowOff>
    </xdr:from>
    <xdr:to>
      <xdr:col>2</xdr:col>
      <xdr:colOff>17625</xdr:colOff>
      <xdr:row>4</xdr:row>
      <xdr:rowOff>135150</xdr:rowOff>
    </xdr:to>
    <xdr:pic>
      <xdr:nvPicPr>
        <xdr:cNvPr id="39946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1E340F-CDDB-47F5-B826-CA31212CDEE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24" b="-6600"/>
        <a:stretch/>
      </xdr:blipFill>
      <xdr:spPr bwMode="auto">
        <a:xfrm>
          <a:off x="122400" y="2304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190500</xdr:rowOff>
    </xdr:from>
    <xdr:to>
      <xdr:col>1</xdr:col>
      <xdr:colOff>2181225</xdr:colOff>
      <xdr:row>5</xdr:row>
      <xdr:rowOff>57150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9C45D-26AC-4C14-AFC5-8202EEF3743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24" b="-6600"/>
        <a:stretch/>
      </xdr:blipFill>
      <xdr:spPr bwMode="auto">
        <a:xfrm>
          <a:off x="276225" y="342900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122400</xdr:colOff>
      <xdr:row>1</xdr:row>
      <xdr:rowOff>180975</xdr:rowOff>
    </xdr:from>
    <xdr:to>
      <xdr:col>1</xdr:col>
      <xdr:colOff>2027400</xdr:colOff>
      <xdr:row>5</xdr:row>
      <xdr:rowOff>47625</xdr:rowOff>
    </xdr:to>
    <xdr:pic>
      <xdr:nvPicPr>
        <xdr:cNvPr id="4199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14B72D-B8BA-464C-BC4E-25A23BF6323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9495" t="-156"/>
        <a:stretch/>
      </xdr:blipFill>
      <xdr:spPr bwMode="auto">
        <a:xfrm>
          <a:off x="122400" y="333375"/>
          <a:ext cx="21907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84300</xdr:colOff>
      <xdr:row>1</xdr:row>
      <xdr:rowOff>190500</xdr:rowOff>
    </xdr:from>
    <xdr:to>
      <xdr:col>1</xdr:col>
      <xdr:colOff>1751175</xdr:colOff>
      <xdr:row>5</xdr:row>
      <xdr:rowOff>0</xdr:rowOff>
    </xdr:to>
    <xdr:pic>
      <xdr:nvPicPr>
        <xdr:cNvPr id="43018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026373-8227-4106-B863-7564D6337B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3"/>
        <a:stretch/>
      </xdr:blipFill>
      <xdr:spPr bwMode="auto">
        <a:xfrm>
          <a:off x="84300" y="342900"/>
          <a:ext cx="195262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171450</xdr:rowOff>
    </xdr:from>
    <xdr:to>
      <xdr:col>1</xdr:col>
      <xdr:colOff>2019300</xdr:colOff>
      <xdr:row>4</xdr:row>
      <xdr:rowOff>171450</xdr:rowOff>
    </xdr:to>
    <xdr:pic>
      <xdr:nvPicPr>
        <xdr:cNvPr id="4404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FD983-10A5-4C7B-BFD5-858C02EC0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23850"/>
          <a:ext cx="195262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erisanalysiskit.com/help/OAK5/index.htm?summariseworkbook.ht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summariseworkbook.ht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summariseworkbook.htm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erisanalysiskit.com/help/OAK5/index.htm?summariseworkbook.htm" TargetMode="External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summariseworkbook.htm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erisanalysiskit.com/help/OAK5/index.htm?summariseworkbook.htm" TargetMode="External"/><Relationship Id="rId7" Type="http://schemas.openxmlformats.org/officeDocument/2006/relationships/comments" Target="../comments3.xml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summariseworkbook.htm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erisanalysiskit.com/help/OAK5/index.htm?summariseworkbook.htm" TargetMode="External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summariseworkbook.htm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erisanalysiskit.com/help/OAK5/index.htm?summariseworkbook.ht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mapworkbookworksheets.htm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namesbuildnamedatabase.htm" TargetMode="Externa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namesbuildnamedatabase.htm" TargetMode="External"/><Relationship Id="rId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comparetoolscompareworkbooksworksheets.htm" TargetMode="External"/><Relationship Id="rId4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comparetoolscompareworkbooksworksheets.htm" TargetMode="External"/><Relationship Id="rId4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comparetoolscompareworkbooksworksheets.htm" TargetMode="External"/><Relationship Id="rId4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mailto:OAK@operis.com" TargetMode="External"/><Relationship Id="rId1" Type="http://schemas.openxmlformats.org/officeDocument/2006/relationships/hyperlink" Target="https://www.operisanalysiskit.com/help/OAK5/index.htm?comparetoolscompareworkbooksworksheets.htm" TargetMode="External"/><Relationship Id="rId4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W12"/>
  <sheetViews>
    <sheetView showGridLines="0" zoomScaleNormal="100" workbookViewId="0">
      <pane ySplit="12" topLeftCell="A13" activePane="bottomLeft" state="frozen"/>
      <selection pane="bottomLeft" activeCell="F17" sqref="F16:F17"/>
    </sheetView>
  </sheetViews>
  <sheetFormatPr defaultColWidth="9.1796875" defaultRowHeight="14.5" customHeight="1" x14ac:dyDescent="0.35"/>
  <cols>
    <col min="1" max="1" width="4.26953125" customWidth="1"/>
    <col min="2" max="2" width="32.7265625" style="1" customWidth="1"/>
    <col min="3" max="3" width="25.7265625" style="1" customWidth="1"/>
    <col min="4" max="4" width="12.7265625" style="1" customWidth="1"/>
    <col min="5" max="7" width="10.7265625" style="2" customWidth="1"/>
    <col min="8" max="8" width="18.7265625" style="2" customWidth="1"/>
    <col min="9" max="9" width="10.7265625" style="2" customWidth="1"/>
    <col min="10" max="10" width="12.7265625" style="3" customWidth="1"/>
    <col min="11" max="11" width="10.7265625" style="2" customWidth="1"/>
    <col min="12" max="12" width="12.7265625" style="3" customWidth="1"/>
    <col min="13" max="13" width="14.08984375" style="79" customWidth="1"/>
    <col min="14" max="14" width="9.26953125" style="79" customWidth="1"/>
    <col min="15" max="15" width="10.7265625" style="2" customWidth="1"/>
    <col min="16" max="16" width="12.7265625" style="3" customWidth="1"/>
    <col min="17" max="17" width="10.7265625" style="2" customWidth="1"/>
    <col min="18" max="18" width="12.7265625" style="3" customWidth="1"/>
    <col min="19" max="20" width="10.7265625" style="2" customWidth="1"/>
    <col min="21" max="21" width="10.7265625" style="3" customWidth="1"/>
    <col min="22" max="22" width="12.7265625" style="2" customWidth="1"/>
    <col min="23" max="23" width="12.7265625" style="3" customWidth="1"/>
  </cols>
  <sheetData>
    <row r="1" spans="1:23" ht="12" customHeight="1" x14ac:dyDescent="0.35">
      <c r="A1" s="9"/>
      <c r="B1" s="8"/>
      <c r="C1" s="8"/>
      <c r="D1" s="8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 spans="1:23" ht="23.15" customHeight="1" x14ac:dyDescent="0.5">
      <c r="A2" s="11"/>
      <c r="B2" s="8"/>
      <c r="C2" s="55" t="s">
        <v>25</v>
      </c>
      <c r="D2" s="8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</row>
    <row r="3" spans="1:23" ht="6.75" customHeight="1" x14ac:dyDescent="0.35">
      <c r="A3" s="11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</row>
    <row r="4" spans="1:23" ht="15" customHeight="1" x14ac:dyDescent="0.35">
      <c r="A4" s="11"/>
      <c r="B4" s="8"/>
      <c r="C4" s="58" t="s">
        <v>141</v>
      </c>
      <c r="D4" s="58"/>
      <c r="E4" s="8"/>
      <c r="F4" s="82" t="s">
        <v>126</v>
      </c>
      <c r="G4" s="82"/>
      <c r="H4" s="82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</row>
    <row r="5" spans="1:23" ht="15" customHeight="1" x14ac:dyDescent="0.35">
      <c r="A5" s="11"/>
      <c r="B5" s="8"/>
      <c r="C5" s="6" t="s">
        <v>140</v>
      </c>
      <c r="D5" s="6"/>
      <c r="E5" s="8"/>
      <c r="F5" s="83" t="s">
        <v>125</v>
      </c>
      <c r="G5" s="83"/>
      <c r="H5" s="83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 s="38" customFormat="1" ht="12" customHeight="1" thickBot="1" x14ac:dyDescent="0.4">
      <c r="A6" s="39"/>
      <c r="B6" s="41"/>
      <c r="C6" s="41"/>
      <c r="D6" s="41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</row>
    <row r="7" spans="1:23" s="20" customFormat="1" ht="15" customHeight="1" thickTop="1" x14ac:dyDescent="0.25">
      <c r="B7" s="21"/>
      <c r="C7" s="21"/>
      <c r="D7" s="17"/>
      <c r="E7" s="18"/>
      <c r="F7" s="18"/>
      <c r="G7" s="18"/>
      <c r="H7" s="18"/>
      <c r="I7" s="18"/>
      <c r="J7" s="19"/>
      <c r="K7" s="18"/>
      <c r="L7" s="19"/>
      <c r="M7" s="19"/>
      <c r="N7" s="19"/>
      <c r="O7" s="18"/>
      <c r="P7" s="19"/>
      <c r="Q7" s="18"/>
      <c r="R7" s="19"/>
      <c r="S7" s="18"/>
      <c r="T7" s="18"/>
      <c r="U7" s="19"/>
      <c r="V7" s="18"/>
      <c r="W7" s="19"/>
    </row>
    <row r="8" spans="1:23" s="20" customFormat="1" ht="15" customHeight="1" x14ac:dyDescent="0.25">
      <c r="B8" s="81" t="s">
        <v>29</v>
      </c>
      <c r="C8" s="81"/>
      <c r="D8" s="81"/>
      <c r="E8" s="81"/>
      <c r="F8" s="81"/>
      <c r="G8" s="81"/>
      <c r="H8" s="81"/>
      <c r="I8" s="81"/>
      <c r="J8" s="81"/>
      <c r="K8" s="56"/>
      <c r="L8" s="56"/>
      <c r="M8" s="56"/>
      <c r="N8" s="56"/>
      <c r="O8" s="56"/>
      <c r="P8" s="56"/>
      <c r="Q8" s="56"/>
      <c r="R8" s="56"/>
      <c r="S8" s="18"/>
      <c r="T8" s="18"/>
      <c r="U8" s="19"/>
      <c r="V8" s="18"/>
      <c r="W8" s="19"/>
    </row>
    <row r="9" spans="1:23" s="20" customFormat="1" ht="15" customHeight="1" x14ac:dyDescent="0.25">
      <c r="B9" s="81"/>
      <c r="C9" s="81"/>
      <c r="D9" s="81"/>
      <c r="E9" s="81"/>
      <c r="F9" s="81"/>
      <c r="G9" s="81"/>
      <c r="H9" s="81"/>
      <c r="I9" s="81"/>
      <c r="J9" s="81"/>
      <c r="K9" s="56"/>
      <c r="L9" s="56"/>
      <c r="M9" s="56"/>
      <c r="N9" s="56"/>
      <c r="O9" s="56"/>
      <c r="P9" s="56"/>
      <c r="Q9" s="56"/>
      <c r="R9" s="56"/>
      <c r="S9" s="18"/>
      <c r="T9" s="18"/>
      <c r="U9" s="19"/>
      <c r="V9" s="18"/>
      <c r="W9" s="19"/>
    </row>
    <row r="10" spans="1:23" s="20" customFormat="1" ht="15" customHeight="1" x14ac:dyDescent="0.25">
      <c r="B10" s="81" t="s">
        <v>30</v>
      </c>
      <c r="C10" s="81"/>
      <c r="D10" s="81"/>
      <c r="E10" s="81"/>
      <c r="F10" s="81"/>
      <c r="G10" s="81"/>
      <c r="H10" s="81"/>
      <c r="I10" s="81"/>
      <c r="J10" s="81"/>
      <c r="K10" s="56"/>
      <c r="L10" s="56"/>
      <c r="M10" s="56"/>
      <c r="N10" s="56"/>
      <c r="O10" s="56"/>
      <c r="P10" s="56"/>
      <c r="Q10" s="56"/>
      <c r="R10" s="56"/>
      <c r="S10" s="18"/>
      <c r="T10" s="18"/>
      <c r="U10" s="19"/>
      <c r="V10" s="18"/>
      <c r="W10" s="19"/>
    </row>
    <row r="11" spans="1:23" s="20" customFormat="1" ht="15" customHeight="1" x14ac:dyDescent="0.25">
      <c r="B11" s="53"/>
      <c r="C11" s="53"/>
      <c r="D11" s="53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18"/>
      <c r="T11" s="18"/>
      <c r="U11" s="19"/>
      <c r="V11" s="18"/>
      <c r="W11" s="19"/>
    </row>
    <row r="12" spans="1:23" ht="30" customHeight="1" x14ac:dyDescent="0.35">
      <c r="A12" s="37"/>
      <c r="B12" s="54" t="s">
        <v>0</v>
      </c>
      <c r="C12" s="54" t="s">
        <v>1</v>
      </c>
      <c r="D12" s="54" t="s">
        <v>2</v>
      </c>
      <c r="E12" s="57" t="s">
        <v>3</v>
      </c>
      <c r="F12" s="57" t="s">
        <v>4</v>
      </c>
      <c r="G12" s="57" t="s">
        <v>5</v>
      </c>
      <c r="H12" s="57" t="s">
        <v>129</v>
      </c>
      <c r="I12" s="57" t="s">
        <v>6</v>
      </c>
      <c r="J12" s="57" t="s">
        <v>7</v>
      </c>
      <c r="K12" s="57" t="s">
        <v>8</v>
      </c>
      <c r="L12" s="57" t="s">
        <v>9</v>
      </c>
      <c r="M12" s="80" t="s">
        <v>148</v>
      </c>
      <c r="N12" s="80" t="s">
        <v>149</v>
      </c>
      <c r="O12" s="57" t="s">
        <v>10</v>
      </c>
      <c r="P12" s="57" t="s">
        <v>11</v>
      </c>
      <c r="Q12" s="57" t="s">
        <v>12</v>
      </c>
      <c r="R12" s="57" t="s">
        <v>13</v>
      </c>
      <c r="S12" s="57" t="s">
        <v>14</v>
      </c>
      <c r="T12" s="57" t="s">
        <v>130</v>
      </c>
      <c r="U12" s="57" t="s">
        <v>15</v>
      </c>
      <c r="V12" s="57" t="s">
        <v>131</v>
      </c>
      <c r="W12" s="57" t="s">
        <v>16</v>
      </c>
    </row>
  </sheetData>
  <mergeCells count="4">
    <mergeCell ref="B8:J9"/>
    <mergeCell ref="B10:J10"/>
    <mergeCell ref="F4:H4"/>
    <mergeCell ref="F5:H5"/>
  </mergeCells>
  <hyperlinks>
    <hyperlink ref="F4" r:id="rId1" display="More help on this report…" xr:uid="{00000000-0004-0000-0000-000000000000}"/>
    <hyperlink ref="F5" r:id="rId2" display="OAK@operis.com" xr:uid="{00000000-0004-0000-0000-000001000000}"/>
    <hyperlink ref="F4:H4" r:id="rId3" display="Need some help? Follow this link" xr:uid="{EF9C314E-0089-4815-9BD4-48754F88111B}"/>
  </hyperlinks>
  <pageMargins left="0.70866141732283472" right="0.70866141732283472" top="0.74803149606299213" bottom="0.74803149606299213" header="0.31496062992125984" footer="0.31496062992125984"/>
  <pageSetup paperSize="9" scale="45" fitToHeight="0" orientation="landscape" r:id="rId4"/>
  <headerFooter>
    <oddHeader>&amp;LOAK Workbook Summary&amp;R&amp;F</oddHeader>
    <oddFooter>&amp;LPage &amp;P of &amp;N&amp;CGenerated by OAK - Operis Analysis Kit&amp;R&amp;T on &amp;D</oddFooter>
  </headerFooter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H11"/>
  <sheetViews>
    <sheetView showGridLines="0" workbookViewId="0">
      <pane ySplit="11" topLeftCell="A12" activePane="bottomLeft" state="frozen"/>
      <selection pane="bottomLeft" activeCell="F14" sqref="F14"/>
    </sheetView>
  </sheetViews>
  <sheetFormatPr defaultColWidth="9.1796875" defaultRowHeight="14.5" x14ac:dyDescent="0.35"/>
  <cols>
    <col min="1" max="1" width="4.26953125" customWidth="1"/>
    <col min="2" max="2" width="32.7265625" style="1" customWidth="1"/>
    <col min="3" max="3" width="12.7265625" style="1" customWidth="1"/>
    <col min="4" max="5" width="12.7265625" style="2" customWidth="1"/>
    <col min="6" max="6" width="16.26953125" style="2" bestFit="1" customWidth="1"/>
    <col min="7" max="7" width="16.7265625" style="1" customWidth="1"/>
    <col min="8" max="8" width="255.7265625" style="1" bestFit="1" customWidth="1"/>
  </cols>
  <sheetData>
    <row r="1" spans="1:8" ht="12" customHeight="1" x14ac:dyDescent="0.35">
      <c r="A1" s="11"/>
      <c r="B1" s="8"/>
      <c r="C1" s="8"/>
      <c r="D1" s="8"/>
      <c r="E1" s="9"/>
      <c r="F1" s="9"/>
      <c r="G1" s="9"/>
      <c r="H1" s="9"/>
    </row>
    <row r="2" spans="1:8" ht="23" x14ac:dyDescent="0.35">
      <c r="A2" s="11"/>
      <c r="B2" s="12"/>
      <c r="C2" s="7" t="s">
        <v>8</v>
      </c>
      <c r="D2" s="8"/>
      <c r="E2" s="9"/>
      <c r="F2" s="9"/>
      <c r="G2" s="9"/>
      <c r="H2" s="9"/>
    </row>
    <row r="3" spans="1:8" ht="6.75" customHeight="1" x14ac:dyDescent="0.35">
      <c r="A3" s="11"/>
      <c r="B3" s="12"/>
      <c r="C3" s="7"/>
      <c r="D3" s="8"/>
      <c r="E3" s="9"/>
      <c r="F3" s="9"/>
      <c r="G3" s="9"/>
      <c r="H3" s="9"/>
    </row>
    <row r="4" spans="1:8" ht="15" customHeight="1" x14ac:dyDescent="0.35">
      <c r="A4" s="11"/>
      <c r="B4" s="12"/>
      <c r="C4" s="6" t="s">
        <v>57</v>
      </c>
      <c r="D4" s="8"/>
      <c r="E4" s="9"/>
      <c r="F4" s="9"/>
      <c r="G4" s="9"/>
      <c r="H4" s="71" t="s">
        <v>126</v>
      </c>
    </row>
    <row r="5" spans="1:8" ht="15" customHeight="1" x14ac:dyDescent="0.35">
      <c r="A5" s="11"/>
      <c r="B5" s="12"/>
      <c r="C5" s="6" t="s">
        <v>59</v>
      </c>
      <c r="D5" s="8"/>
      <c r="E5" s="9"/>
      <c r="F5" s="9"/>
      <c r="G5" s="9"/>
      <c r="H5" s="29" t="s">
        <v>125</v>
      </c>
    </row>
    <row r="6" spans="1:8" ht="12" customHeight="1" thickBot="1" x14ac:dyDescent="0.4">
      <c r="A6" s="39"/>
      <c r="B6" s="40"/>
      <c r="C6" s="40"/>
      <c r="D6" s="41"/>
      <c r="E6" s="42"/>
      <c r="F6" s="42"/>
      <c r="G6" s="42"/>
      <c r="H6" s="42"/>
    </row>
    <row r="7" spans="1:8" ht="20.25" customHeight="1" thickTop="1" x14ac:dyDescent="0.35">
      <c r="A7" s="16"/>
      <c r="B7" s="13"/>
      <c r="C7" s="13"/>
      <c r="D7" s="14"/>
      <c r="E7" s="15"/>
      <c r="F7" s="15"/>
      <c r="G7" s="15"/>
      <c r="H7" s="15"/>
    </row>
    <row r="8" spans="1:8" x14ac:dyDescent="0.35">
      <c r="B8" s="4" t="s">
        <v>28</v>
      </c>
      <c r="C8" s="4"/>
      <c r="D8" s="5"/>
      <c r="E8" s="5"/>
      <c r="F8" s="5"/>
      <c r="G8" s="4"/>
      <c r="H8" s="4"/>
    </row>
    <row r="9" spans="1:8" x14ac:dyDescent="0.35">
      <c r="B9" s="4" t="s">
        <v>17</v>
      </c>
      <c r="C9" s="4"/>
      <c r="D9" s="5"/>
      <c r="E9" s="5"/>
      <c r="F9" s="5"/>
      <c r="G9" s="4"/>
      <c r="H9" s="4"/>
    </row>
    <row r="10" spans="1:8" x14ac:dyDescent="0.35">
      <c r="B10" s="4"/>
      <c r="C10" s="4"/>
      <c r="D10" s="5"/>
      <c r="E10" s="5"/>
      <c r="F10" s="5"/>
      <c r="G10" s="4"/>
      <c r="H10" s="4"/>
    </row>
    <row r="11" spans="1:8" x14ac:dyDescent="0.35">
      <c r="A11" s="43"/>
      <c r="B11" s="44" t="s">
        <v>18</v>
      </c>
      <c r="C11" s="44" t="s">
        <v>19</v>
      </c>
      <c r="D11" s="45" t="s">
        <v>20</v>
      </c>
      <c r="E11" s="45" t="s">
        <v>21</v>
      </c>
      <c r="F11" s="45" t="s">
        <v>150</v>
      </c>
      <c r="G11" s="44" t="s">
        <v>22</v>
      </c>
      <c r="H11" s="44" t="s">
        <v>23</v>
      </c>
    </row>
  </sheetData>
  <hyperlinks>
    <hyperlink ref="H4" r:id="rId1" xr:uid="{00000000-0004-0000-0100-000000000000}"/>
    <hyperlink ref="H5" r:id="rId2" display="OAK@operis.com" xr:uid="{00000000-0004-0000-0100-000001000000}"/>
  </hyperlinks>
  <pageMargins left="0.70866141732283472" right="0.70866141732283472" top="0.74803149606299213" bottom="0.74803149606299213" header="0.31496062992125984" footer="0.31496062992125984"/>
  <pageSetup paperSize="9" scale="37" fitToHeight="0" orientation="landscape" r:id="rId3"/>
  <headerFooter>
    <oddHeader>&amp;LOAK Distict Formulas&amp;R&amp;F</oddHeader>
    <oddFooter>&amp;LPage &amp;P of &amp;N&amp;CGenerated by OAK - Operis Analysis Kit&amp;R&amp;T on &amp;D</oddFooter>
  </headerFooter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H10"/>
  <sheetViews>
    <sheetView showGridLines="0" workbookViewId="0">
      <pane ySplit="10" topLeftCell="A11" activePane="bottomLeft" state="frozen"/>
      <selection pane="bottomLeft" activeCell="A11" sqref="A11"/>
    </sheetView>
  </sheetViews>
  <sheetFormatPr defaultColWidth="9.1796875" defaultRowHeight="14.5" x14ac:dyDescent="0.35"/>
  <cols>
    <col min="1" max="1" width="4.26953125" customWidth="1"/>
    <col min="2" max="2" width="32.7265625" style="1" customWidth="1"/>
    <col min="3" max="3" width="20.7265625" style="1" customWidth="1"/>
    <col min="4" max="4" width="50.26953125" style="1" customWidth="1"/>
    <col min="5" max="5" width="8.54296875" customWidth="1"/>
    <col min="6" max="8" width="9.1796875" customWidth="1"/>
  </cols>
  <sheetData>
    <row r="1" spans="1:8" ht="12" customHeight="1" x14ac:dyDescent="0.35">
      <c r="A1" s="11"/>
      <c r="B1" s="8"/>
      <c r="C1" s="8"/>
      <c r="D1" s="8"/>
      <c r="E1" s="9"/>
      <c r="F1" s="9"/>
      <c r="G1" s="9"/>
      <c r="H1" s="9"/>
    </row>
    <row r="2" spans="1:8" ht="23" x14ac:dyDescent="0.35">
      <c r="A2" s="11"/>
      <c r="B2" s="12"/>
      <c r="C2" s="7" t="s">
        <v>26</v>
      </c>
      <c r="D2" s="8"/>
      <c r="E2" s="9"/>
      <c r="F2" s="9"/>
      <c r="G2" s="9"/>
      <c r="H2" s="9"/>
    </row>
    <row r="3" spans="1:8" ht="6.75" customHeight="1" x14ac:dyDescent="0.35">
      <c r="A3" s="11"/>
      <c r="B3" s="12"/>
      <c r="C3" s="7"/>
      <c r="D3" s="8"/>
      <c r="E3" s="9"/>
      <c r="F3" s="9"/>
      <c r="G3" s="9"/>
      <c r="H3" s="9"/>
    </row>
    <row r="4" spans="1:8" ht="15" customHeight="1" x14ac:dyDescent="0.35">
      <c r="A4" s="11"/>
      <c r="B4" s="12"/>
      <c r="C4" s="6" t="s">
        <v>57</v>
      </c>
      <c r="D4" s="8"/>
      <c r="E4" s="82" t="s">
        <v>126</v>
      </c>
      <c r="F4" s="82"/>
      <c r="G4" s="82"/>
      <c r="H4" s="82"/>
    </row>
    <row r="5" spans="1:8" ht="15" customHeight="1" x14ac:dyDescent="0.35">
      <c r="A5" s="11"/>
      <c r="B5" s="12"/>
      <c r="C5" s="6" t="s">
        <v>58</v>
      </c>
      <c r="D5" s="8"/>
      <c r="E5" s="83" t="s">
        <v>125</v>
      </c>
      <c r="F5" s="83"/>
      <c r="G5" s="83"/>
      <c r="H5" s="83"/>
    </row>
    <row r="6" spans="1:8" ht="12" customHeight="1" thickBot="1" x14ac:dyDescent="0.4">
      <c r="A6" s="39"/>
      <c r="B6" s="40"/>
      <c r="C6" s="40"/>
      <c r="D6" s="41"/>
      <c r="E6" s="42"/>
      <c r="F6" s="42"/>
      <c r="G6" s="42"/>
      <c r="H6" s="42"/>
    </row>
    <row r="7" spans="1:8" ht="20.25" customHeight="1" thickTop="1" x14ac:dyDescent="0.35"/>
    <row r="8" spans="1:8" x14ac:dyDescent="0.35">
      <c r="B8" s="4" t="s">
        <v>27</v>
      </c>
      <c r="C8" s="4"/>
      <c r="D8" s="4"/>
    </row>
    <row r="9" spans="1:8" x14ac:dyDescent="0.35">
      <c r="B9" s="4"/>
      <c r="C9" s="4"/>
      <c r="D9" s="4"/>
    </row>
    <row r="10" spans="1:8" x14ac:dyDescent="0.35">
      <c r="A10" s="43"/>
      <c r="B10" s="44" t="s">
        <v>18</v>
      </c>
      <c r="C10" s="44" t="s">
        <v>19</v>
      </c>
      <c r="D10" s="44" t="s">
        <v>24</v>
      </c>
      <c r="E10" s="43"/>
      <c r="F10" s="43"/>
      <c r="G10" s="43"/>
      <c r="H10" s="43"/>
    </row>
  </sheetData>
  <mergeCells count="2">
    <mergeCell ref="E4:H4"/>
    <mergeCell ref="E5:H5"/>
  </mergeCells>
  <hyperlinks>
    <hyperlink ref="E4" r:id="rId1" display="More help on this report…" xr:uid="{00000000-0004-0000-0200-000000000000}"/>
    <hyperlink ref="E5" r:id="rId2" display="OAK@operis.com" xr:uid="{00000000-0004-0000-0200-000001000000}"/>
    <hyperlink ref="E4:H4" r:id="rId3" display="Need some help? Follow this link" xr:uid="{A6FFA867-18DD-4057-9FD9-C8ECE5A74D8B}"/>
  </hyperlinks>
  <pageMargins left="0.70866141732283472" right="0.70866141732283472" top="0.74803149606299213" bottom="0.74803149606299213" header="0.31496062992125984" footer="0.31496062992125984"/>
  <pageSetup paperSize="9" scale="90" fitToHeight="0" orientation="landscape" r:id="rId4"/>
  <headerFooter>
    <oddHeader>&amp;LOAK Referred Constants&amp;R&amp;F</oddHeader>
    <oddFooter>&amp;LPage &amp;P of &amp;N&amp;CGenerated by OAK - Operis Analysis Kit&amp;R&amp;T on &amp;D</oddFooter>
  </headerFooter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A1:U16"/>
  <sheetViews>
    <sheetView showGridLines="0" tabSelected="1" workbookViewId="0">
      <pane ySplit="16" topLeftCell="A17" activePane="bottomLeft" state="frozen"/>
      <selection activeCell="C24" sqref="C24"/>
      <selection pane="bottomLeft" activeCell="G17" sqref="G17"/>
    </sheetView>
  </sheetViews>
  <sheetFormatPr defaultColWidth="9.1796875" defaultRowHeight="14.5" x14ac:dyDescent="0.35"/>
  <cols>
    <col min="1" max="1" width="4.26953125" customWidth="1"/>
    <col min="2" max="2" width="32.7265625" style="1" customWidth="1"/>
    <col min="3" max="3" width="15.7265625" style="1" customWidth="1"/>
    <col min="4" max="4" width="48.7265625" style="1" customWidth="1"/>
    <col min="5" max="6" width="10.7265625" style="2" customWidth="1"/>
    <col min="7" max="7" width="14.54296875" style="2" bestFit="1" customWidth="1"/>
    <col min="8" max="11" width="10.7265625" style="2" customWidth="1"/>
    <col min="12" max="14" width="9.7265625" style="2" customWidth="1"/>
    <col min="15" max="15" width="20.7265625" style="2" customWidth="1"/>
    <col min="16" max="16" width="15.7265625" style="2" customWidth="1"/>
    <col min="17" max="20" width="20.7265625" style="2" customWidth="1"/>
    <col min="21" max="21" width="10.7265625" style="2" customWidth="1"/>
  </cols>
  <sheetData>
    <row r="1" spans="1:21" ht="12" customHeight="1" x14ac:dyDescent="0.35">
      <c r="A1" s="11"/>
      <c r="B1" s="8"/>
      <c r="C1" s="8"/>
      <c r="D1" s="8"/>
      <c r="E1" s="9"/>
      <c r="F1" s="9"/>
      <c r="G1" s="9"/>
      <c r="H1" s="9"/>
      <c r="I1" s="9"/>
      <c r="J1" s="9"/>
      <c r="K1" s="10"/>
      <c r="L1" s="9"/>
      <c r="M1" s="10"/>
      <c r="N1" s="9"/>
      <c r="O1" s="10"/>
      <c r="P1" s="9"/>
      <c r="Q1" s="10"/>
      <c r="R1" s="9"/>
      <c r="S1" s="9"/>
      <c r="T1" s="10"/>
      <c r="U1" s="9"/>
    </row>
    <row r="2" spans="1:21" ht="23" x14ac:dyDescent="0.35">
      <c r="A2" s="11"/>
      <c r="B2" s="12"/>
      <c r="C2" s="7" t="s">
        <v>60</v>
      </c>
      <c r="D2" s="8"/>
      <c r="E2" s="9"/>
      <c r="F2" s="9"/>
      <c r="G2" s="9"/>
      <c r="H2" s="9"/>
      <c r="I2" s="9"/>
      <c r="J2" s="9"/>
      <c r="K2" s="10"/>
      <c r="L2" s="9"/>
      <c r="M2" s="10"/>
      <c r="N2" s="9"/>
      <c r="O2" s="10"/>
      <c r="P2" s="9"/>
      <c r="Q2" s="10"/>
      <c r="R2" s="9"/>
      <c r="S2" s="9"/>
      <c r="T2" s="10"/>
      <c r="U2" s="9"/>
    </row>
    <row r="3" spans="1:21" ht="6.75" customHeight="1" x14ac:dyDescent="0.35">
      <c r="A3" s="11"/>
      <c r="B3" s="12"/>
      <c r="C3" s="7"/>
      <c r="D3" s="8"/>
      <c r="E3" s="9"/>
      <c r="F3" s="9"/>
      <c r="G3" s="9"/>
      <c r="H3" s="9"/>
      <c r="I3" s="9"/>
      <c r="J3" s="9"/>
      <c r="K3" s="10"/>
      <c r="L3" s="9"/>
      <c r="M3" s="10"/>
      <c r="N3" s="9"/>
      <c r="O3" s="10"/>
      <c r="P3" s="9"/>
      <c r="Q3" s="10"/>
      <c r="R3" s="9"/>
      <c r="S3" s="9"/>
      <c r="T3" s="10"/>
      <c r="U3" s="9"/>
    </row>
    <row r="4" spans="1:21" ht="15" customHeight="1" x14ac:dyDescent="0.35">
      <c r="A4" s="11"/>
      <c r="B4" s="12"/>
      <c r="C4" s="6" t="s">
        <v>57</v>
      </c>
      <c r="D4" s="8"/>
      <c r="E4" s="82" t="s">
        <v>126</v>
      </c>
      <c r="F4" s="82"/>
      <c r="G4" s="82"/>
      <c r="H4" s="82"/>
      <c r="I4" s="9"/>
      <c r="J4" s="9"/>
      <c r="K4" s="10"/>
      <c r="L4" s="9"/>
      <c r="M4" s="10"/>
      <c r="N4" s="9"/>
      <c r="O4" s="10"/>
      <c r="P4" s="9"/>
      <c r="Q4" s="10"/>
      <c r="R4" s="9"/>
      <c r="S4" s="9"/>
      <c r="T4" s="10"/>
      <c r="U4" s="9"/>
    </row>
    <row r="5" spans="1:21" ht="15" customHeight="1" x14ac:dyDescent="0.35">
      <c r="A5" s="11"/>
      <c r="B5" s="12"/>
      <c r="C5" s="6" t="s">
        <v>58</v>
      </c>
      <c r="D5" s="8"/>
      <c r="E5" s="83" t="s">
        <v>125</v>
      </c>
      <c r="F5" s="83"/>
      <c r="G5" s="83"/>
      <c r="H5" s="83"/>
      <c r="I5" s="9"/>
      <c r="J5" s="9"/>
      <c r="K5" s="10"/>
      <c r="L5" s="9"/>
      <c r="M5" s="10"/>
      <c r="N5" s="9"/>
      <c r="O5" s="10"/>
      <c r="P5" s="9"/>
      <c r="Q5" s="10"/>
      <c r="R5" s="9"/>
      <c r="S5" s="9"/>
      <c r="T5" s="10"/>
      <c r="U5" s="9"/>
    </row>
    <row r="6" spans="1:21" ht="12" customHeight="1" thickBot="1" x14ac:dyDescent="0.4">
      <c r="A6" s="39"/>
      <c r="B6" s="40"/>
      <c r="C6" s="40"/>
      <c r="D6" s="41"/>
      <c r="E6" s="42"/>
      <c r="F6" s="42"/>
      <c r="G6" s="42"/>
      <c r="H6" s="42"/>
      <c r="I6" s="42"/>
      <c r="J6" s="42"/>
      <c r="K6" s="46"/>
      <c r="L6" s="42"/>
      <c r="M6" s="46"/>
      <c r="N6" s="42"/>
      <c r="O6" s="46"/>
      <c r="P6" s="42"/>
      <c r="Q6" s="46"/>
      <c r="R6" s="42"/>
      <c r="S6" s="42"/>
      <c r="T6" s="46"/>
      <c r="U6" s="42"/>
    </row>
    <row r="7" spans="1:21" ht="20.5" thickTop="1" x14ac:dyDescent="0.4">
      <c r="B7" s="22"/>
      <c r="C7" s="22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</row>
    <row r="8" spans="1:21" ht="20" x14ac:dyDescent="0.4">
      <c r="B8" s="4" t="s">
        <v>61</v>
      </c>
      <c r="C8" s="22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</row>
    <row r="9" spans="1:21" ht="20" x14ac:dyDescent="0.4">
      <c r="B9" s="4" t="s">
        <v>62</v>
      </c>
      <c r="C9" s="22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1" ht="20" x14ac:dyDescent="0.4">
      <c r="B10" s="22"/>
      <c r="C10" s="22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1" x14ac:dyDescent="0.35">
      <c r="A11" s="43"/>
      <c r="B11" s="44"/>
      <c r="C11" s="44"/>
      <c r="D11" s="44" t="s">
        <v>33</v>
      </c>
      <c r="E11" s="43"/>
      <c r="F11" s="43"/>
      <c r="G11" s="78" t="s">
        <v>149</v>
      </c>
      <c r="H11" s="78" t="s">
        <v>34</v>
      </c>
      <c r="I11" s="78" t="s">
        <v>35</v>
      </c>
      <c r="J11" s="78" t="s">
        <v>36</v>
      </c>
      <c r="K11" s="78" t="s">
        <v>37</v>
      </c>
      <c r="L11" s="78" t="s">
        <v>38</v>
      </c>
      <c r="M11" s="78" t="s">
        <v>39</v>
      </c>
      <c r="N11" s="78" t="s">
        <v>40</v>
      </c>
      <c r="O11" s="78" t="s">
        <v>41</v>
      </c>
      <c r="P11" s="78" t="s">
        <v>42</v>
      </c>
      <c r="Q11" s="78" t="s">
        <v>43</v>
      </c>
      <c r="R11" s="78" t="s">
        <v>44</v>
      </c>
      <c r="S11" s="78" t="s">
        <v>45</v>
      </c>
      <c r="T11" s="78" t="s">
        <v>46</v>
      </c>
      <c r="U11" s="78" t="s">
        <v>47</v>
      </c>
    </row>
    <row r="12" spans="1:21" ht="15" thickBot="1" x14ac:dyDescent="0.4">
      <c r="A12" s="43"/>
      <c r="B12" s="44"/>
      <c r="C12" s="44"/>
      <c r="D12" s="44" t="s">
        <v>48</v>
      </c>
      <c r="E12" s="43"/>
      <c r="F12" s="43"/>
      <c r="G12" s="47">
        <v>10</v>
      </c>
      <c r="H12" s="47">
        <v>1</v>
      </c>
      <c r="I12" s="47">
        <v>5</v>
      </c>
      <c r="J12" s="47">
        <v>10</v>
      </c>
      <c r="K12" s="47">
        <v>25</v>
      </c>
      <c r="L12" s="47">
        <v>25</v>
      </c>
      <c r="M12" s="47">
        <v>5</v>
      </c>
      <c r="N12" s="47">
        <v>3</v>
      </c>
      <c r="O12" s="47">
        <v>2</v>
      </c>
      <c r="P12" s="47">
        <v>-2</v>
      </c>
      <c r="Q12" s="47">
        <v>-2</v>
      </c>
      <c r="R12" s="47">
        <v>0</v>
      </c>
      <c r="S12" s="47">
        <v>0</v>
      </c>
      <c r="T12" s="47">
        <v>0</v>
      </c>
      <c r="U12" s="47">
        <v>2</v>
      </c>
    </row>
    <row r="13" spans="1:21" x14ac:dyDescent="0.35">
      <c r="A13" s="43"/>
      <c r="B13" s="44"/>
      <c r="C13" s="44"/>
      <c r="D13" s="44"/>
      <c r="E13" s="43"/>
      <c r="F13" s="48" t="s">
        <v>49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1" ht="15" thickBot="1" x14ac:dyDescent="0.4">
      <c r="A14" s="43"/>
      <c r="B14" s="44"/>
      <c r="C14" s="44"/>
      <c r="D14" s="44" t="s">
        <v>50</v>
      </c>
      <c r="E14" s="49">
        <f>SUM($E$17:$E$1048576)</f>
        <v>0</v>
      </c>
      <c r="F14" s="49">
        <f>SUM($F$17:$F$1048576)</f>
        <v>0</v>
      </c>
      <c r="G14" s="50">
        <f>COUNT(G$17:G$1048576)*Weights</f>
        <v>0</v>
      </c>
      <c r="H14" s="50">
        <f t="shared" ref="H14:U14" si="0">SUM(H$17:H$1048576)*Weights</f>
        <v>0</v>
      </c>
      <c r="I14" s="50">
        <f t="shared" si="0"/>
        <v>0</v>
      </c>
      <c r="J14" s="50">
        <f t="shared" si="0"/>
        <v>0</v>
      </c>
      <c r="K14" s="50">
        <f t="shared" si="0"/>
        <v>0</v>
      </c>
      <c r="L14" s="50">
        <f t="shared" si="0"/>
        <v>0</v>
      </c>
      <c r="M14" s="50">
        <f t="shared" si="0"/>
        <v>0</v>
      </c>
      <c r="N14" s="50">
        <f t="shared" si="0"/>
        <v>0</v>
      </c>
      <c r="O14" s="50">
        <f t="shared" si="0"/>
        <v>0</v>
      </c>
      <c r="P14" s="50">
        <f t="shared" si="0"/>
        <v>0</v>
      </c>
      <c r="Q14" s="50">
        <f t="shared" si="0"/>
        <v>0</v>
      </c>
      <c r="R14" s="50">
        <f t="shared" si="0"/>
        <v>0</v>
      </c>
      <c r="S14" s="50">
        <f t="shared" si="0"/>
        <v>0</v>
      </c>
      <c r="T14" s="50">
        <f t="shared" si="0"/>
        <v>0</v>
      </c>
      <c r="U14" s="50">
        <f t="shared" si="0"/>
        <v>0</v>
      </c>
    </row>
    <row r="15" spans="1:21" x14ac:dyDescent="0.35">
      <c r="A15" s="43"/>
      <c r="B15" s="44"/>
      <c r="C15" s="44"/>
      <c r="D15" s="44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  <row r="16" spans="1:21" x14ac:dyDescent="0.35">
      <c r="A16" s="43"/>
      <c r="B16" s="44" t="s">
        <v>18</v>
      </c>
      <c r="C16" s="44" t="s">
        <v>19</v>
      </c>
      <c r="D16" s="44" t="s">
        <v>23</v>
      </c>
      <c r="E16" s="48" t="s">
        <v>51</v>
      </c>
      <c r="F16" s="48" t="s">
        <v>52</v>
      </c>
      <c r="G16" s="48" t="s">
        <v>149</v>
      </c>
      <c r="H16" s="48" t="s">
        <v>53</v>
      </c>
      <c r="I16" s="48" t="s">
        <v>54</v>
      </c>
      <c r="J16" s="48" t="s">
        <v>55</v>
      </c>
      <c r="K16" s="48" t="s">
        <v>37</v>
      </c>
      <c r="L16" s="48" t="s">
        <v>38</v>
      </c>
      <c r="M16" s="48" t="s">
        <v>39</v>
      </c>
      <c r="N16" s="48" t="s">
        <v>40</v>
      </c>
      <c r="O16" s="48" t="s">
        <v>41</v>
      </c>
      <c r="P16" s="48" t="s">
        <v>42</v>
      </c>
      <c r="Q16" s="48" t="s">
        <v>43</v>
      </c>
      <c r="R16" s="48" t="s">
        <v>44</v>
      </c>
      <c r="S16" s="48" t="s">
        <v>45</v>
      </c>
      <c r="T16" s="48" t="s">
        <v>46</v>
      </c>
      <c r="U16" s="48" t="s">
        <v>47</v>
      </c>
    </row>
  </sheetData>
  <mergeCells count="2">
    <mergeCell ref="E4:H4"/>
    <mergeCell ref="E5:H5"/>
  </mergeCells>
  <hyperlinks>
    <hyperlink ref="E4" r:id="rId1" display="More help on this report…" xr:uid="{00000000-0004-0000-0300-000000000000}"/>
    <hyperlink ref="E5" r:id="rId2" display="OAK@operis.com" xr:uid="{00000000-0004-0000-0300-000001000000}"/>
    <hyperlink ref="E4:H4" r:id="rId3" display="Need some help? Follow this link" xr:uid="{3A3F8673-F20A-4587-86C3-F2730B6FCAB4}"/>
  </hyperlinks>
  <pageMargins left="0.70866141732283472" right="0.70866141732283472" top="0.74803149606299213" bottom="0.74803149606299213" header="0.31496062992125984" footer="0.31496062992125984"/>
  <pageSetup paperSize="9" scale="40" fitToHeight="0" orientation="landscape" r:id="rId4"/>
  <headerFooter>
    <oddHeader>&amp;LOAK Risk Analysis Report&amp;R&amp;F</oddHeader>
    <oddFooter>&amp;LPage &amp;P of &amp;N&amp;CGenerated by OAK - Operis Analysis Kit&amp;R&amp;T on &amp;D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pageSetUpPr fitToPage="1"/>
  </sheetPr>
  <dimension ref="A1:X500"/>
  <sheetViews>
    <sheetView showGridLines="0" workbookViewId="0">
      <pane ySplit="11" topLeftCell="A12" activePane="bottomLeft" state="frozen"/>
      <selection activeCell="C24" sqref="C24"/>
      <selection pane="bottomLeft" activeCell="A12" sqref="A12"/>
    </sheetView>
  </sheetViews>
  <sheetFormatPr defaultColWidth="9.1796875" defaultRowHeight="11.25" customHeight="1" x14ac:dyDescent="0.35"/>
  <cols>
    <col min="1" max="1" width="4.26953125" customWidth="1"/>
    <col min="2" max="2" width="30.7265625" customWidth="1"/>
    <col min="3" max="3" width="2.7265625" customWidth="1"/>
    <col min="4" max="24" width="9.1796875" customWidth="1"/>
  </cols>
  <sheetData>
    <row r="1" spans="1:24" s="11" customFormat="1" ht="12" customHeight="1" x14ac:dyDescent="0.35">
      <c r="B1" s="8"/>
      <c r="C1" s="8"/>
      <c r="D1" s="8"/>
      <c r="E1" s="9"/>
      <c r="F1" s="9"/>
      <c r="G1" s="9"/>
      <c r="H1" s="9"/>
      <c r="I1" s="9"/>
      <c r="J1" s="10"/>
      <c r="K1" s="9"/>
      <c r="L1" s="10"/>
      <c r="M1" s="9"/>
      <c r="N1" s="10"/>
      <c r="O1" s="9"/>
      <c r="P1" s="10"/>
      <c r="Q1" s="9"/>
      <c r="R1" s="9"/>
      <c r="S1" s="10"/>
      <c r="T1" s="9"/>
      <c r="U1" s="10"/>
    </row>
    <row r="2" spans="1:24" s="11" customFormat="1" ht="23" x14ac:dyDescent="0.35">
      <c r="B2" s="12"/>
      <c r="C2" s="7" t="s">
        <v>63</v>
      </c>
      <c r="D2" s="8"/>
      <c r="E2" s="9"/>
      <c r="F2" s="9"/>
      <c r="G2" s="9"/>
      <c r="H2" s="9"/>
      <c r="I2" s="9"/>
      <c r="J2" s="10"/>
      <c r="K2" s="9"/>
      <c r="L2" s="10"/>
      <c r="M2" s="9"/>
      <c r="N2" s="10"/>
      <c r="O2" s="9"/>
      <c r="P2" s="10"/>
      <c r="Q2" s="9"/>
      <c r="R2" s="9"/>
      <c r="S2" s="10"/>
      <c r="T2" s="9"/>
      <c r="U2" s="10"/>
    </row>
    <row r="3" spans="1:24" s="11" customFormat="1" ht="6.75" customHeight="1" x14ac:dyDescent="0.35">
      <c r="B3" s="12"/>
      <c r="C3" s="7"/>
      <c r="D3" s="8"/>
      <c r="E3" s="9"/>
      <c r="F3" s="9"/>
      <c r="G3" s="9"/>
      <c r="H3" s="9"/>
      <c r="I3" s="9"/>
      <c r="J3" s="10"/>
      <c r="K3" s="9"/>
      <c r="L3" s="10"/>
      <c r="M3" s="9"/>
      <c r="N3" s="10"/>
      <c r="O3" s="9"/>
      <c r="P3" s="10"/>
      <c r="Q3" s="9"/>
      <c r="R3" s="9"/>
      <c r="S3" s="10"/>
      <c r="T3" s="9"/>
      <c r="U3" s="10"/>
    </row>
    <row r="4" spans="1:24" s="11" customFormat="1" ht="15" customHeight="1" x14ac:dyDescent="0.35">
      <c r="B4" s="12"/>
      <c r="C4" s="6" t="s">
        <v>57</v>
      </c>
      <c r="D4" s="8"/>
      <c r="E4" s="9"/>
      <c r="F4" s="9"/>
      <c r="G4" s="9"/>
      <c r="H4" s="9"/>
      <c r="I4" s="9"/>
      <c r="J4" s="10"/>
      <c r="K4" s="82" t="s">
        <v>126</v>
      </c>
      <c r="L4" s="82"/>
      <c r="M4" s="82"/>
      <c r="N4" s="82"/>
      <c r="O4" s="9"/>
      <c r="P4" s="10"/>
      <c r="Q4" s="9"/>
      <c r="R4" s="9"/>
      <c r="S4" s="10"/>
      <c r="T4" s="9"/>
      <c r="U4" s="10"/>
    </row>
    <row r="5" spans="1:24" s="11" customFormat="1" ht="15" customHeight="1" x14ac:dyDescent="0.35">
      <c r="B5" s="12"/>
      <c r="C5" s="6" t="s">
        <v>58</v>
      </c>
      <c r="D5" s="8"/>
      <c r="E5" s="9"/>
      <c r="F5" s="9"/>
      <c r="G5" s="9"/>
      <c r="H5" s="9"/>
      <c r="I5" s="9"/>
      <c r="J5" s="10"/>
      <c r="K5" s="83" t="s">
        <v>125</v>
      </c>
      <c r="L5" s="83"/>
      <c r="M5" s="83"/>
      <c r="N5" s="83"/>
      <c r="O5" s="9"/>
      <c r="P5" s="10"/>
      <c r="Q5" s="9"/>
      <c r="R5" s="9"/>
      <c r="S5" s="10"/>
      <c r="T5" s="9"/>
      <c r="U5" s="10"/>
    </row>
    <row r="6" spans="1:24" s="11" customFormat="1" ht="12" customHeight="1" thickBot="1" x14ac:dyDescent="0.4">
      <c r="A6" s="39"/>
      <c r="B6" s="40"/>
      <c r="C6" s="40"/>
      <c r="D6" s="41"/>
      <c r="E6" s="42"/>
      <c r="F6" s="42"/>
      <c r="G6" s="42"/>
      <c r="H6" s="42"/>
      <c r="I6" s="42"/>
      <c r="J6" s="46"/>
      <c r="K6" s="42"/>
      <c r="L6" s="46"/>
      <c r="M6" s="42"/>
      <c r="N6" s="46"/>
      <c r="O6" s="42"/>
      <c r="P6" s="46"/>
      <c r="Q6" s="42"/>
      <c r="R6" s="42"/>
      <c r="S6" s="46"/>
      <c r="T6" s="42"/>
      <c r="U6" s="46"/>
      <c r="V6" s="39"/>
      <c r="W6" s="39"/>
      <c r="X6" s="39"/>
    </row>
    <row r="7" spans="1:24" ht="20.5" thickTop="1" x14ac:dyDescent="0.4">
      <c r="B7" s="22"/>
      <c r="C7" s="22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4" ht="20" x14ac:dyDescent="0.4">
      <c r="B8" s="4" t="s">
        <v>143</v>
      </c>
      <c r="C8" s="22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4" ht="20" x14ac:dyDescent="0.4">
      <c r="B9" s="4" t="s">
        <v>144</v>
      </c>
      <c r="C9" s="22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4" ht="21" customHeight="1" x14ac:dyDescent="0.4">
      <c r="B10" s="22"/>
      <c r="C10" s="22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4" s="61" customFormat="1" ht="14.5" x14ac:dyDescent="0.35">
      <c r="A11" s="59"/>
      <c r="B11" s="62"/>
      <c r="C11" s="62"/>
      <c r="D11" s="62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59"/>
      <c r="V11" s="59"/>
      <c r="W11" s="59"/>
      <c r="X11" s="59"/>
    </row>
    <row r="12" spans="1:24" ht="14.25" customHeight="1" x14ac:dyDescent="0.35">
      <c r="A12" s="44"/>
      <c r="B12" s="44"/>
      <c r="C12" s="5"/>
      <c r="D12" s="2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ht="14.5" x14ac:dyDescent="0.35">
      <c r="A13" s="44"/>
      <c r="B13" s="44"/>
      <c r="C13" s="5"/>
      <c r="D13" s="5"/>
      <c r="E13" s="2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ht="14.5" x14ac:dyDescent="0.35">
      <c r="A14" s="44"/>
      <c r="B14" s="44"/>
      <c r="C14" s="5"/>
      <c r="D14" s="5"/>
      <c r="E14" s="5"/>
      <c r="F14" s="2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ht="14.5" x14ac:dyDescent="0.35">
      <c r="A15" s="44"/>
      <c r="B15" s="44"/>
      <c r="C15" s="5"/>
      <c r="D15" s="5"/>
      <c r="E15" s="5"/>
      <c r="F15" s="5"/>
      <c r="G15" s="2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4.5" x14ac:dyDescent="0.35">
      <c r="A16" s="44"/>
      <c r="B16" s="44"/>
      <c r="C16" s="5"/>
      <c r="D16" s="5"/>
      <c r="E16" s="5"/>
      <c r="F16" s="5"/>
      <c r="G16" s="5"/>
      <c r="H16" s="24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4.5" x14ac:dyDescent="0.35">
      <c r="A17" s="44"/>
      <c r="B17" s="44"/>
      <c r="C17" s="5"/>
      <c r="D17" s="5"/>
      <c r="E17" s="5"/>
      <c r="F17" s="5"/>
      <c r="G17" s="5"/>
      <c r="H17" s="5"/>
      <c r="I17" s="2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ht="14.5" x14ac:dyDescent="0.35">
      <c r="A18" s="44"/>
      <c r="B18" s="44"/>
      <c r="C18" s="5"/>
      <c r="D18" s="5"/>
      <c r="E18" s="5"/>
      <c r="F18" s="5"/>
      <c r="G18" s="5"/>
      <c r="H18" s="5"/>
      <c r="I18" s="5"/>
      <c r="J18" s="2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4.5" x14ac:dyDescent="0.35">
      <c r="A19" s="44"/>
      <c r="B19" s="44"/>
      <c r="C19" s="5"/>
      <c r="D19" s="5"/>
      <c r="E19" s="5"/>
      <c r="F19" s="5"/>
      <c r="G19" s="5"/>
      <c r="H19" s="5"/>
      <c r="I19" s="5"/>
      <c r="J19" s="5"/>
      <c r="K19" s="2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ht="14.5" x14ac:dyDescent="0.35">
      <c r="A20" s="44"/>
      <c r="B20" s="44"/>
      <c r="C20" s="5"/>
      <c r="D20" s="5"/>
      <c r="E20" s="5"/>
      <c r="F20" s="5"/>
      <c r="G20" s="5"/>
      <c r="H20" s="5"/>
      <c r="I20" s="5"/>
      <c r="J20" s="5"/>
      <c r="K20" s="5"/>
      <c r="L20" s="24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4.5" x14ac:dyDescent="0.35">
      <c r="A21" s="44"/>
      <c r="B21" s="44"/>
      <c r="C21" s="5"/>
      <c r="D21" s="5"/>
      <c r="E21" s="5"/>
      <c r="F21" s="5"/>
      <c r="G21" s="5"/>
      <c r="H21" s="5"/>
      <c r="I21" s="5"/>
      <c r="J21" s="5"/>
      <c r="K21" s="5"/>
      <c r="L21" s="5"/>
      <c r="M21" s="2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4.5" x14ac:dyDescent="0.35">
      <c r="A22" s="44"/>
      <c r="B22" s="4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24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4.5" x14ac:dyDescent="0.35">
      <c r="A23" s="44"/>
      <c r="B23" s="4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24"/>
      <c r="P23" s="5"/>
      <c r="Q23" s="5"/>
      <c r="R23" s="5"/>
      <c r="S23" s="5"/>
      <c r="T23" s="5"/>
      <c r="U23" s="5"/>
      <c r="V23" s="5"/>
      <c r="W23" s="5"/>
      <c r="X23" s="5"/>
    </row>
    <row r="24" spans="1:24" ht="14.5" x14ac:dyDescent="0.35">
      <c r="A24" s="44"/>
      <c r="B24" s="4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24"/>
      <c r="Q24" s="5"/>
      <c r="R24" s="5"/>
      <c r="S24" s="5"/>
      <c r="T24" s="5"/>
      <c r="U24" s="5"/>
      <c r="V24" s="5"/>
      <c r="W24" s="5"/>
      <c r="X24" s="5"/>
    </row>
    <row r="25" spans="1:24" ht="14.5" x14ac:dyDescent="0.35">
      <c r="A25" s="44"/>
      <c r="B25" s="4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24"/>
      <c r="R25" s="5"/>
      <c r="S25" s="5"/>
      <c r="T25" s="5"/>
      <c r="U25" s="5"/>
      <c r="V25" s="5"/>
      <c r="W25" s="5"/>
      <c r="X25" s="5"/>
    </row>
    <row r="26" spans="1:24" ht="14.5" x14ac:dyDescent="0.35">
      <c r="A26" s="44"/>
      <c r="B26" s="4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24"/>
      <c r="S26" s="5"/>
      <c r="T26" s="5"/>
      <c r="U26" s="5"/>
      <c r="V26" s="5"/>
      <c r="W26" s="5"/>
      <c r="X26" s="5"/>
    </row>
    <row r="27" spans="1:24" ht="14.5" x14ac:dyDescent="0.35">
      <c r="A27" s="44"/>
      <c r="B27" s="4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24"/>
      <c r="T27" s="5"/>
      <c r="U27" s="5"/>
      <c r="V27" s="5"/>
      <c r="W27" s="5"/>
      <c r="X27" s="5"/>
    </row>
    <row r="28" spans="1:24" ht="14.5" x14ac:dyDescent="0.35">
      <c r="A28" s="44"/>
      <c r="B28" s="4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24"/>
      <c r="U28" s="5"/>
      <c r="V28" s="5"/>
      <c r="W28" s="5"/>
      <c r="X28" s="5"/>
    </row>
    <row r="29" spans="1:24" ht="14.5" x14ac:dyDescent="0.35">
      <c r="A29" s="44"/>
      <c r="B29" s="4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24"/>
      <c r="V29" s="5"/>
      <c r="W29" s="5"/>
      <c r="X29" s="5"/>
    </row>
    <row r="30" spans="1:24" ht="14.5" x14ac:dyDescent="0.35">
      <c r="A30" s="44"/>
      <c r="B30" s="4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24"/>
      <c r="W30" s="5"/>
      <c r="X30" s="5"/>
    </row>
    <row r="31" spans="1:24" ht="14.5" x14ac:dyDescent="0.35">
      <c r="A31" s="44"/>
      <c r="B31" s="4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24"/>
      <c r="X31" s="5"/>
    </row>
    <row r="32" spans="1:24" ht="14.5" x14ac:dyDescent="0.35">
      <c r="A32" s="44"/>
      <c r="B32" s="4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24"/>
    </row>
    <row r="33" spans="1:24" ht="14.5" x14ac:dyDescent="0.35">
      <c r="A33" s="44"/>
      <c r="B33" s="4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24"/>
    </row>
    <row r="34" spans="1:24" ht="11.25" customHeight="1" x14ac:dyDescent="0.35">
      <c r="A34" s="44"/>
      <c r="B34" s="44"/>
    </row>
    <row r="35" spans="1:24" ht="11.25" customHeight="1" x14ac:dyDescent="0.35">
      <c r="A35" s="44"/>
      <c r="B35" s="44"/>
    </row>
    <row r="36" spans="1:24" ht="11.25" customHeight="1" x14ac:dyDescent="0.35">
      <c r="A36" s="44"/>
      <c r="B36" s="44"/>
    </row>
    <row r="37" spans="1:24" ht="11.25" customHeight="1" x14ac:dyDescent="0.35">
      <c r="A37" s="44"/>
      <c r="B37" s="44"/>
    </row>
    <row r="38" spans="1:24" ht="11.25" customHeight="1" x14ac:dyDescent="0.35">
      <c r="A38" s="44"/>
      <c r="B38" s="44"/>
    </row>
    <row r="39" spans="1:24" ht="11.25" customHeight="1" x14ac:dyDescent="0.35">
      <c r="A39" s="44"/>
      <c r="B39" s="44"/>
    </row>
    <row r="40" spans="1:24" ht="11.25" customHeight="1" x14ac:dyDescent="0.35">
      <c r="A40" s="44"/>
      <c r="B40" s="44"/>
    </row>
    <row r="41" spans="1:24" ht="11.25" customHeight="1" x14ac:dyDescent="0.35">
      <c r="A41" s="44"/>
      <c r="B41" s="44"/>
    </row>
    <row r="42" spans="1:24" ht="11.25" customHeight="1" x14ac:dyDescent="0.35">
      <c r="A42" s="44"/>
      <c r="B42" s="44"/>
    </row>
    <row r="43" spans="1:24" ht="11.25" customHeight="1" x14ac:dyDescent="0.35">
      <c r="A43" s="44"/>
      <c r="B43" s="44"/>
    </row>
    <row r="44" spans="1:24" ht="11.25" customHeight="1" x14ac:dyDescent="0.35">
      <c r="A44" s="44"/>
      <c r="B44" s="44"/>
    </row>
    <row r="45" spans="1:24" ht="11.25" customHeight="1" x14ac:dyDescent="0.35">
      <c r="A45" s="44"/>
      <c r="B45" s="44"/>
    </row>
    <row r="46" spans="1:24" ht="11.25" customHeight="1" x14ac:dyDescent="0.35">
      <c r="A46" s="44"/>
      <c r="B46" s="44"/>
    </row>
    <row r="47" spans="1:24" ht="11.25" customHeight="1" x14ac:dyDescent="0.35">
      <c r="A47" s="44"/>
      <c r="B47" s="44"/>
    </row>
    <row r="48" spans="1:24" ht="11.25" customHeight="1" x14ac:dyDescent="0.35">
      <c r="A48" s="44"/>
      <c r="B48" s="44"/>
    </row>
    <row r="49" spans="1:2" ht="11.25" customHeight="1" x14ac:dyDescent="0.35">
      <c r="A49" s="44"/>
      <c r="B49" s="44"/>
    </row>
    <row r="50" spans="1:2" ht="11.25" customHeight="1" x14ac:dyDescent="0.35">
      <c r="A50" s="44"/>
      <c r="B50" s="44"/>
    </row>
    <row r="51" spans="1:2" ht="11.25" customHeight="1" x14ac:dyDescent="0.35">
      <c r="A51" s="44"/>
      <c r="B51" s="44"/>
    </row>
    <row r="52" spans="1:2" ht="11.25" customHeight="1" x14ac:dyDescent="0.35">
      <c r="A52" s="44"/>
      <c r="B52" s="44"/>
    </row>
    <row r="53" spans="1:2" ht="11.25" customHeight="1" x14ac:dyDescent="0.35">
      <c r="A53" s="44"/>
      <c r="B53" s="44"/>
    </row>
    <row r="54" spans="1:2" ht="11.25" customHeight="1" x14ac:dyDescent="0.35">
      <c r="A54" s="44"/>
      <c r="B54" s="44"/>
    </row>
    <row r="55" spans="1:2" ht="11.25" customHeight="1" x14ac:dyDescent="0.35">
      <c r="A55" s="44"/>
      <c r="B55" s="44"/>
    </row>
    <row r="56" spans="1:2" ht="11.25" customHeight="1" x14ac:dyDescent="0.35">
      <c r="A56" s="44"/>
      <c r="B56" s="44"/>
    </row>
    <row r="57" spans="1:2" ht="11.25" customHeight="1" x14ac:dyDescent="0.35">
      <c r="A57" s="44"/>
      <c r="B57" s="44"/>
    </row>
    <row r="58" spans="1:2" ht="11.25" customHeight="1" x14ac:dyDescent="0.35">
      <c r="A58" s="44"/>
      <c r="B58" s="44"/>
    </row>
    <row r="59" spans="1:2" ht="11.25" customHeight="1" x14ac:dyDescent="0.35">
      <c r="A59" s="44"/>
      <c r="B59" s="44"/>
    </row>
    <row r="60" spans="1:2" ht="11.25" customHeight="1" x14ac:dyDescent="0.35">
      <c r="A60" s="44"/>
      <c r="B60" s="44"/>
    </row>
    <row r="61" spans="1:2" ht="11.25" customHeight="1" x14ac:dyDescent="0.35">
      <c r="A61" s="44"/>
      <c r="B61" s="44"/>
    </row>
    <row r="62" spans="1:2" ht="11.25" customHeight="1" x14ac:dyDescent="0.35">
      <c r="A62" s="44"/>
      <c r="B62" s="44"/>
    </row>
    <row r="63" spans="1:2" ht="11.25" customHeight="1" x14ac:dyDescent="0.35">
      <c r="A63" s="44"/>
      <c r="B63" s="44"/>
    </row>
    <row r="64" spans="1:2" ht="11.25" customHeight="1" x14ac:dyDescent="0.35">
      <c r="A64" s="44"/>
      <c r="B64" s="44"/>
    </row>
    <row r="65" spans="1:2" ht="11.25" customHeight="1" x14ac:dyDescent="0.35">
      <c r="A65" s="44"/>
      <c r="B65" s="44"/>
    </row>
    <row r="66" spans="1:2" ht="11.25" customHeight="1" x14ac:dyDescent="0.35">
      <c r="A66" s="44"/>
      <c r="B66" s="44"/>
    </row>
    <row r="67" spans="1:2" ht="11.25" customHeight="1" x14ac:dyDescent="0.35">
      <c r="A67" s="44"/>
      <c r="B67" s="44"/>
    </row>
    <row r="68" spans="1:2" ht="11.25" customHeight="1" x14ac:dyDescent="0.35">
      <c r="A68" s="44"/>
      <c r="B68" s="44"/>
    </row>
    <row r="69" spans="1:2" ht="11.25" customHeight="1" x14ac:dyDescent="0.35">
      <c r="A69" s="44"/>
      <c r="B69" s="44"/>
    </row>
    <row r="70" spans="1:2" ht="11.25" customHeight="1" x14ac:dyDescent="0.35">
      <c r="A70" s="44"/>
      <c r="B70" s="44"/>
    </row>
    <row r="71" spans="1:2" ht="11.25" customHeight="1" x14ac:dyDescent="0.35">
      <c r="A71" s="44"/>
      <c r="B71" s="44"/>
    </row>
    <row r="72" spans="1:2" ht="11.25" customHeight="1" x14ac:dyDescent="0.35">
      <c r="A72" s="44"/>
      <c r="B72" s="44"/>
    </row>
    <row r="73" spans="1:2" ht="11.25" customHeight="1" x14ac:dyDescent="0.35">
      <c r="A73" s="44"/>
      <c r="B73" s="44"/>
    </row>
    <row r="74" spans="1:2" ht="11.25" customHeight="1" x14ac:dyDescent="0.35">
      <c r="A74" s="44"/>
      <c r="B74" s="44"/>
    </row>
    <row r="75" spans="1:2" ht="11.25" customHeight="1" x14ac:dyDescent="0.35">
      <c r="A75" s="44"/>
      <c r="B75" s="44"/>
    </row>
    <row r="76" spans="1:2" ht="11.25" customHeight="1" x14ac:dyDescent="0.35">
      <c r="A76" s="44"/>
      <c r="B76" s="44"/>
    </row>
    <row r="77" spans="1:2" ht="11.25" customHeight="1" x14ac:dyDescent="0.35">
      <c r="A77" s="44"/>
      <c r="B77" s="44"/>
    </row>
    <row r="78" spans="1:2" ht="11.25" customHeight="1" x14ac:dyDescent="0.35">
      <c r="A78" s="44"/>
      <c r="B78" s="44"/>
    </row>
    <row r="79" spans="1:2" ht="11.25" customHeight="1" x14ac:dyDescent="0.35">
      <c r="A79" s="44"/>
      <c r="B79" s="44"/>
    </row>
    <row r="80" spans="1:2" ht="11.25" customHeight="1" x14ac:dyDescent="0.35">
      <c r="A80" s="44"/>
      <c r="B80" s="44"/>
    </row>
    <row r="81" spans="1:2" ht="11.25" customHeight="1" x14ac:dyDescent="0.35">
      <c r="A81" s="44"/>
      <c r="B81" s="44"/>
    </row>
    <row r="82" spans="1:2" ht="11.25" customHeight="1" x14ac:dyDescent="0.35">
      <c r="A82" s="44"/>
      <c r="B82" s="44"/>
    </row>
    <row r="83" spans="1:2" ht="11.25" customHeight="1" x14ac:dyDescent="0.35">
      <c r="A83" s="44"/>
      <c r="B83" s="44"/>
    </row>
    <row r="84" spans="1:2" ht="11.25" customHeight="1" x14ac:dyDescent="0.35">
      <c r="A84" s="44"/>
      <c r="B84" s="44"/>
    </row>
    <row r="85" spans="1:2" ht="11.25" customHeight="1" x14ac:dyDescent="0.35">
      <c r="A85" s="44"/>
      <c r="B85" s="44"/>
    </row>
    <row r="86" spans="1:2" ht="11.25" customHeight="1" x14ac:dyDescent="0.35">
      <c r="A86" s="44"/>
      <c r="B86" s="44"/>
    </row>
    <row r="87" spans="1:2" ht="11.25" customHeight="1" x14ac:dyDescent="0.35">
      <c r="A87" s="44"/>
      <c r="B87" s="44"/>
    </row>
    <row r="88" spans="1:2" ht="11.25" customHeight="1" x14ac:dyDescent="0.35">
      <c r="A88" s="44"/>
      <c r="B88" s="44"/>
    </row>
    <row r="89" spans="1:2" ht="11.25" customHeight="1" x14ac:dyDescent="0.35">
      <c r="A89" s="44"/>
      <c r="B89" s="44"/>
    </row>
    <row r="90" spans="1:2" ht="11.25" customHeight="1" x14ac:dyDescent="0.35">
      <c r="A90" s="44"/>
      <c r="B90" s="44"/>
    </row>
    <row r="91" spans="1:2" ht="11.25" customHeight="1" x14ac:dyDescent="0.35">
      <c r="A91" s="44"/>
      <c r="B91" s="44"/>
    </row>
    <row r="92" spans="1:2" ht="11.25" customHeight="1" x14ac:dyDescent="0.35">
      <c r="A92" s="44"/>
      <c r="B92" s="44"/>
    </row>
    <row r="93" spans="1:2" ht="11.25" customHeight="1" x14ac:dyDescent="0.35">
      <c r="A93" s="44"/>
      <c r="B93" s="44"/>
    </row>
    <row r="94" spans="1:2" ht="11.25" customHeight="1" x14ac:dyDescent="0.35">
      <c r="A94" s="44"/>
      <c r="B94" s="44"/>
    </row>
    <row r="95" spans="1:2" ht="11.25" customHeight="1" x14ac:dyDescent="0.35">
      <c r="A95" s="44"/>
      <c r="B95" s="44"/>
    </row>
    <row r="96" spans="1:2" ht="11.25" customHeight="1" x14ac:dyDescent="0.35">
      <c r="A96" s="44"/>
      <c r="B96" s="44"/>
    </row>
    <row r="97" spans="1:2" ht="11.25" customHeight="1" x14ac:dyDescent="0.35">
      <c r="A97" s="44"/>
      <c r="B97" s="44"/>
    </row>
    <row r="98" spans="1:2" ht="11.25" customHeight="1" x14ac:dyDescent="0.35">
      <c r="A98" s="44"/>
      <c r="B98" s="44"/>
    </row>
    <row r="99" spans="1:2" ht="11.25" customHeight="1" x14ac:dyDescent="0.35">
      <c r="A99" s="44"/>
      <c r="B99" s="44"/>
    </row>
    <row r="100" spans="1:2" ht="11.25" customHeight="1" x14ac:dyDescent="0.35">
      <c r="A100" s="44"/>
      <c r="B100" s="44"/>
    </row>
    <row r="101" spans="1:2" ht="11.25" customHeight="1" x14ac:dyDescent="0.35">
      <c r="A101" s="44"/>
      <c r="B101" s="44"/>
    </row>
    <row r="102" spans="1:2" ht="11.25" customHeight="1" x14ac:dyDescent="0.35">
      <c r="A102" s="44"/>
      <c r="B102" s="44"/>
    </row>
    <row r="103" spans="1:2" ht="11.25" customHeight="1" x14ac:dyDescent="0.35">
      <c r="A103" s="44"/>
      <c r="B103" s="44"/>
    </row>
    <row r="104" spans="1:2" ht="11.25" customHeight="1" x14ac:dyDescent="0.35">
      <c r="A104" s="44"/>
      <c r="B104" s="44"/>
    </row>
    <row r="105" spans="1:2" ht="11.25" customHeight="1" x14ac:dyDescent="0.35">
      <c r="A105" s="44"/>
      <c r="B105" s="44"/>
    </row>
    <row r="106" spans="1:2" ht="11.25" customHeight="1" x14ac:dyDescent="0.35">
      <c r="A106" s="44"/>
      <c r="B106" s="44"/>
    </row>
    <row r="107" spans="1:2" ht="11.25" customHeight="1" x14ac:dyDescent="0.35">
      <c r="A107" s="44"/>
      <c r="B107" s="44"/>
    </row>
    <row r="108" spans="1:2" ht="11.25" customHeight="1" x14ac:dyDescent="0.35">
      <c r="A108" s="44"/>
      <c r="B108" s="44"/>
    </row>
    <row r="109" spans="1:2" ht="11.25" customHeight="1" x14ac:dyDescent="0.35">
      <c r="A109" s="44"/>
      <c r="B109" s="44"/>
    </row>
    <row r="110" spans="1:2" ht="11.25" customHeight="1" x14ac:dyDescent="0.35">
      <c r="A110" s="44"/>
      <c r="B110" s="44"/>
    </row>
    <row r="111" spans="1:2" ht="11.25" customHeight="1" x14ac:dyDescent="0.35">
      <c r="A111" s="44"/>
      <c r="B111" s="44"/>
    </row>
    <row r="112" spans="1:2" ht="11.25" customHeight="1" x14ac:dyDescent="0.35">
      <c r="A112" s="44"/>
      <c r="B112" s="44"/>
    </row>
    <row r="113" spans="1:2" ht="11.25" customHeight="1" x14ac:dyDescent="0.35">
      <c r="A113" s="44"/>
      <c r="B113" s="44"/>
    </row>
    <row r="114" spans="1:2" ht="11.25" customHeight="1" x14ac:dyDescent="0.35">
      <c r="A114" s="44"/>
      <c r="B114" s="44"/>
    </row>
    <row r="115" spans="1:2" ht="11.25" customHeight="1" x14ac:dyDescent="0.35">
      <c r="A115" s="44"/>
      <c r="B115" s="44"/>
    </row>
    <row r="116" spans="1:2" ht="11.25" customHeight="1" x14ac:dyDescent="0.35">
      <c r="A116" s="44"/>
      <c r="B116" s="44"/>
    </row>
    <row r="117" spans="1:2" ht="11.25" customHeight="1" x14ac:dyDescent="0.35">
      <c r="A117" s="44"/>
      <c r="B117" s="44"/>
    </row>
    <row r="118" spans="1:2" ht="11.25" customHeight="1" x14ac:dyDescent="0.35">
      <c r="A118" s="44"/>
      <c r="B118" s="44"/>
    </row>
    <row r="119" spans="1:2" ht="11.25" customHeight="1" x14ac:dyDescent="0.35">
      <c r="A119" s="44"/>
      <c r="B119" s="44"/>
    </row>
    <row r="120" spans="1:2" ht="11.25" customHeight="1" x14ac:dyDescent="0.35">
      <c r="A120" s="44"/>
      <c r="B120" s="44"/>
    </row>
    <row r="121" spans="1:2" ht="11.25" customHeight="1" x14ac:dyDescent="0.35">
      <c r="A121" s="44"/>
      <c r="B121" s="44"/>
    </row>
    <row r="122" spans="1:2" ht="11.25" customHeight="1" x14ac:dyDescent="0.35">
      <c r="A122" s="44"/>
      <c r="B122" s="44"/>
    </row>
    <row r="123" spans="1:2" ht="11.25" customHeight="1" x14ac:dyDescent="0.35">
      <c r="A123" s="44"/>
      <c r="B123" s="44"/>
    </row>
    <row r="124" spans="1:2" ht="11.25" customHeight="1" x14ac:dyDescent="0.35">
      <c r="A124" s="44"/>
      <c r="B124" s="44"/>
    </row>
    <row r="125" spans="1:2" ht="11.25" customHeight="1" x14ac:dyDescent="0.35">
      <c r="A125" s="44"/>
      <c r="B125" s="44"/>
    </row>
    <row r="126" spans="1:2" ht="11.25" customHeight="1" x14ac:dyDescent="0.35">
      <c r="A126" s="44"/>
      <c r="B126" s="44"/>
    </row>
    <row r="127" spans="1:2" ht="11.25" customHeight="1" x14ac:dyDescent="0.35">
      <c r="A127" s="44"/>
      <c r="B127" s="44"/>
    </row>
    <row r="128" spans="1:2" ht="11.25" customHeight="1" x14ac:dyDescent="0.35">
      <c r="A128" s="44"/>
      <c r="B128" s="44"/>
    </row>
    <row r="129" spans="1:2" ht="11.25" customHeight="1" x14ac:dyDescent="0.35">
      <c r="A129" s="44"/>
      <c r="B129" s="44"/>
    </row>
    <row r="130" spans="1:2" ht="11.25" customHeight="1" x14ac:dyDescent="0.35">
      <c r="A130" s="44"/>
      <c r="B130" s="44"/>
    </row>
    <row r="131" spans="1:2" ht="11.25" customHeight="1" x14ac:dyDescent="0.35">
      <c r="A131" s="44"/>
      <c r="B131" s="44"/>
    </row>
    <row r="132" spans="1:2" ht="11.25" customHeight="1" x14ac:dyDescent="0.35">
      <c r="A132" s="44"/>
      <c r="B132" s="44"/>
    </row>
    <row r="133" spans="1:2" ht="11.25" customHeight="1" x14ac:dyDescent="0.35">
      <c r="A133" s="44"/>
      <c r="B133" s="44"/>
    </row>
    <row r="134" spans="1:2" ht="11.25" customHeight="1" x14ac:dyDescent="0.35">
      <c r="A134" s="44"/>
      <c r="B134" s="44"/>
    </row>
    <row r="135" spans="1:2" ht="11.25" customHeight="1" x14ac:dyDescent="0.35">
      <c r="A135" s="44"/>
      <c r="B135" s="44"/>
    </row>
    <row r="136" spans="1:2" ht="11.25" customHeight="1" x14ac:dyDescent="0.35">
      <c r="A136" s="44"/>
      <c r="B136" s="44"/>
    </row>
    <row r="137" spans="1:2" ht="11.25" customHeight="1" x14ac:dyDescent="0.35">
      <c r="A137" s="44"/>
      <c r="B137" s="44"/>
    </row>
    <row r="138" spans="1:2" ht="11.25" customHeight="1" x14ac:dyDescent="0.35">
      <c r="A138" s="44"/>
      <c r="B138" s="44"/>
    </row>
    <row r="139" spans="1:2" ht="11.25" customHeight="1" x14ac:dyDescent="0.35">
      <c r="A139" s="44"/>
      <c r="B139" s="44"/>
    </row>
    <row r="140" spans="1:2" ht="11.25" customHeight="1" x14ac:dyDescent="0.35">
      <c r="A140" s="44"/>
      <c r="B140" s="44"/>
    </row>
    <row r="141" spans="1:2" ht="11.25" customHeight="1" x14ac:dyDescent="0.35">
      <c r="A141" s="44"/>
      <c r="B141" s="44"/>
    </row>
    <row r="142" spans="1:2" ht="11.25" customHeight="1" x14ac:dyDescent="0.35">
      <c r="A142" s="44"/>
      <c r="B142" s="44"/>
    </row>
    <row r="143" spans="1:2" ht="11.25" customHeight="1" x14ac:dyDescent="0.35">
      <c r="A143" s="44"/>
      <c r="B143" s="44"/>
    </row>
    <row r="144" spans="1:2" ht="11.25" customHeight="1" x14ac:dyDescent="0.35">
      <c r="A144" s="44"/>
      <c r="B144" s="44"/>
    </row>
    <row r="145" spans="1:2" ht="11.25" customHeight="1" x14ac:dyDescent="0.35">
      <c r="A145" s="44"/>
      <c r="B145" s="44"/>
    </row>
    <row r="146" spans="1:2" ht="11.25" customHeight="1" x14ac:dyDescent="0.35">
      <c r="A146" s="44"/>
      <c r="B146" s="44"/>
    </row>
    <row r="147" spans="1:2" ht="11.25" customHeight="1" x14ac:dyDescent="0.35">
      <c r="A147" s="44"/>
      <c r="B147" s="44"/>
    </row>
    <row r="148" spans="1:2" ht="11.25" customHeight="1" x14ac:dyDescent="0.35">
      <c r="A148" s="44"/>
      <c r="B148" s="44"/>
    </row>
    <row r="149" spans="1:2" ht="11.25" customHeight="1" x14ac:dyDescent="0.35">
      <c r="A149" s="44"/>
      <c r="B149" s="44"/>
    </row>
    <row r="150" spans="1:2" ht="11.25" customHeight="1" x14ac:dyDescent="0.35">
      <c r="A150" s="44"/>
      <c r="B150" s="44"/>
    </row>
    <row r="151" spans="1:2" ht="11.25" customHeight="1" x14ac:dyDescent="0.35">
      <c r="A151" s="44"/>
      <c r="B151" s="44"/>
    </row>
    <row r="152" spans="1:2" ht="11.25" customHeight="1" x14ac:dyDescent="0.35">
      <c r="A152" s="44"/>
      <c r="B152" s="44"/>
    </row>
    <row r="153" spans="1:2" ht="11.25" customHeight="1" x14ac:dyDescent="0.35">
      <c r="A153" s="44"/>
      <c r="B153" s="44"/>
    </row>
    <row r="154" spans="1:2" ht="11.25" customHeight="1" x14ac:dyDescent="0.35">
      <c r="A154" s="44"/>
      <c r="B154" s="44"/>
    </row>
    <row r="155" spans="1:2" ht="11.25" customHeight="1" x14ac:dyDescent="0.35">
      <c r="A155" s="44"/>
      <c r="B155" s="44"/>
    </row>
    <row r="156" spans="1:2" ht="11.25" customHeight="1" x14ac:dyDescent="0.35">
      <c r="A156" s="44"/>
      <c r="B156" s="44"/>
    </row>
    <row r="157" spans="1:2" ht="11.25" customHeight="1" x14ac:dyDescent="0.35">
      <c r="A157" s="44"/>
      <c r="B157" s="44"/>
    </row>
    <row r="158" spans="1:2" ht="11.25" customHeight="1" x14ac:dyDescent="0.35">
      <c r="A158" s="44"/>
      <c r="B158" s="44"/>
    </row>
    <row r="159" spans="1:2" ht="11.25" customHeight="1" x14ac:dyDescent="0.35">
      <c r="A159" s="44"/>
      <c r="B159" s="44"/>
    </row>
    <row r="160" spans="1:2" ht="11.25" customHeight="1" x14ac:dyDescent="0.35">
      <c r="A160" s="44"/>
      <c r="B160" s="44"/>
    </row>
    <row r="161" spans="1:2" ht="11.25" customHeight="1" x14ac:dyDescent="0.35">
      <c r="A161" s="44"/>
      <c r="B161" s="44"/>
    </row>
    <row r="162" spans="1:2" ht="11.25" customHeight="1" x14ac:dyDescent="0.35">
      <c r="A162" s="44"/>
      <c r="B162" s="44"/>
    </row>
    <row r="163" spans="1:2" ht="11.25" customHeight="1" x14ac:dyDescent="0.35">
      <c r="A163" s="44"/>
      <c r="B163" s="44"/>
    </row>
    <row r="164" spans="1:2" ht="11.25" customHeight="1" x14ac:dyDescent="0.35">
      <c r="A164" s="44"/>
      <c r="B164" s="44"/>
    </row>
    <row r="165" spans="1:2" ht="11.25" customHeight="1" x14ac:dyDescent="0.35">
      <c r="A165" s="44"/>
      <c r="B165" s="44"/>
    </row>
    <row r="166" spans="1:2" ht="11.25" customHeight="1" x14ac:dyDescent="0.35">
      <c r="A166" s="44"/>
      <c r="B166" s="44"/>
    </row>
    <row r="167" spans="1:2" ht="11.25" customHeight="1" x14ac:dyDescent="0.35">
      <c r="A167" s="44"/>
      <c r="B167" s="44"/>
    </row>
    <row r="168" spans="1:2" ht="11.25" customHeight="1" x14ac:dyDescent="0.35">
      <c r="A168" s="44"/>
      <c r="B168" s="44"/>
    </row>
    <row r="169" spans="1:2" ht="11.25" customHeight="1" x14ac:dyDescent="0.35">
      <c r="A169" s="44"/>
      <c r="B169" s="44"/>
    </row>
    <row r="170" spans="1:2" ht="11.25" customHeight="1" x14ac:dyDescent="0.35">
      <c r="A170" s="44"/>
      <c r="B170" s="44"/>
    </row>
    <row r="171" spans="1:2" ht="11.25" customHeight="1" x14ac:dyDescent="0.35">
      <c r="A171" s="44"/>
      <c r="B171" s="44"/>
    </row>
    <row r="172" spans="1:2" ht="11.25" customHeight="1" x14ac:dyDescent="0.35">
      <c r="A172" s="44"/>
      <c r="B172" s="44"/>
    </row>
    <row r="173" spans="1:2" ht="11.25" customHeight="1" x14ac:dyDescent="0.35">
      <c r="A173" s="44"/>
      <c r="B173" s="44"/>
    </row>
    <row r="174" spans="1:2" ht="11.25" customHeight="1" x14ac:dyDescent="0.35">
      <c r="A174" s="44"/>
      <c r="B174" s="44"/>
    </row>
    <row r="175" spans="1:2" ht="11.25" customHeight="1" x14ac:dyDescent="0.35">
      <c r="A175" s="44"/>
      <c r="B175" s="44"/>
    </row>
    <row r="176" spans="1:2" ht="11.25" customHeight="1" x14ac:dyDescent="0.35">
      <c r="A176" s="44"/>
      <c r="B176" s="44"/>
    </row>
    <row r="177" spans="1:2" ht="11.25" customHeight="1" x14ac:dyDescent="0.35">
      <c r="A177" s="44"/>
      <c r="B177" s="44"/>
    </row>
    <row r="178" spans="1:2" ht="11.25" customHeight="1" x14ac:dyDescent="0.35">
      <c r="A178" s="44"/>
      <c r="B178" s="44"/>
    </row>
    <row r="179" spans="1:2" ht="11.25" customHeight="1" x14ac:dyDescent="0.35">
      <c r="A179" s="44"/>
      <c r="B179" s="44"/>
    </row>
    <row r="180" spans="1:2" ht="11.25" customHeight="1" x14ac:dyDescent="0.35">
      <c r="A180" s="44"/>
      <c r="B180" s="44"/>
    </row>
    <row r="181" spans="1:2" ht="11.25" customHeight="1" x14ac:dyDescent="0.35">
      <c r="A181" s="44"/>
      <c r="B181" s="44"/>
    </row>
    <row r="182" spans="1:2" ht="11.25" customHeight="1" x14ac:dyDescent="0.35">
      <c r="A182" s="44"/>
      <c r="B182" s="44"/>
    </row>
    <row r="183" spans="1:2" ht="11.25" customHeight="1" x14ac:dyDescent="0.35">
      <c r="A183" s="44"/>
      <c r="B183" s="44"/>
    </row>
    <row r="184" spans="1:2" ht="11.25" customHeight="1" x14ac:dyDescent="0.35">
      <c r="A184" s="44"/>
      <c r="B184" s="44"/>
    </row>
    <row r="185" spans="1:2" ht="11.25" customHeight="1" x14ac:dyDescent="0.35">
      <c r="A185" s="44"/>
      <c r="B185" s="44"/>
    </row>
    <row r="186" spans="1:2" ht="11.25" customHeight="1" x14ac:dyDescent="0.35">
      <c r="A186" s="44"/>
      <c r="B186" s="44"/>
    </row>
    <row r="187" spans="1:2" ht="11.25" customHeight="1" x14ac:dyDescent="0.35">
      <c r="A187" s="44"/>
      <c r="B187" s="44"/>
    </row>
    <row r="188" spans="1:2" ht="11.25" customHeight="1" x14ac:dyDescent="0.35">
      <c r="A188" s="44"/>
      <c r="B188" s="44"/>
    </row>
    <row r="189" spans="1:2" ht="11.25" customHeight="1" x14ac:dyDescent="0.35">
      <c r="A189" s="44"/>
      <c r="B189" s="44"/>
    </row>
    <row r="190" spans="1:2" ht="11.25" customHeight="1" x14ac:dyDescent="0.35">
      <c r="A190" s="44"/>
      <c r="B190" s="44"/>
    </row>
    <row r="191" spans="1:2" ht="11.25" customHeight="1" x14ac:dyDescent="0.35">
      <c r="A191" s="44"/>
      <c r="B191" s="44"/>
    </row>
    <row r="192" spans="1:2" ht="11.25" customHeight="1" x14ac:dyDescent="0.35">
      <c r="A192" s="44"/>
      <c r="B192" s="44"/>
    </row>
    <row r="193" spans="1:2" ht="11.25" customHeight="1" x14ac:dyDescent="0.35">
      <c r="A193" s="44"/>
      <c r="B193" s="44"/>
    </row>
    <row r="194" spans="1:2" ht="11.25" customHeight="1" x14ac:dyDescent="0.35">
      <c r="A194" s="44"/>
      <c r="B194" s="44"/>
    </row>
    <row r="195" spans="1:2" ht="11.25" customHeight="1" x14ac:dyDescent="0.35">
      <c r="A195" s="44"/>
      <c r="B195" s="44"/>
    </row>
    <row r="196" spans="1:2" ht="11.25" customHeight="1" x14ac:dyDescent="0.35">
      <c r="A196" s="44"/>
      <c r="B196" s="44"/>
    </row>
    <row r="197" spans="1:2" ht="11.25" customHeight="1" x14ac:dyDescent="0.35">
      <c r="A197" s="44"/>
      <c r="B197" s="44"/>
    </row>
    <row r="198" spans="1:2" ht="11.25" customHeight="1" x14ac:dyDescent="0.35">
      <c r="A198" s="44"/>
      <c r="B198" s="44"/>
    </row>
    <row r="199" spans="1:2" ht="11.25" customHeight="1" x14ac:dyDescent="0.35">
      <c r="A199" s="44"/>
      <c r="B199" s="44"/>
    </row>
    <row r="200" spans="1:2" ht="11.25" customHeight="1" x14ac:dyDescent="0.35">
      <c r="A200" s="44"/>
      <c r="B200" s="44"/>
    </row>
    <row r="201" spans="1:2" ht="11.25" customHeight="1" x14ac:dyDescent="0.35">
      <c r="A201" s="44"/>
      <c r="B201" s="44"/>
    </row>
    <row r="202" spans="1:2" ht="11.25" customHeight="1" x14ac:dyDescent="0.35">
      <c r="A202" s="44"/>
      <c r="B202" s="44"/>
    </row>
    <row r="203" spans="1:2" ht="11.25" customHeight="1" x14ac:dyDescent="0.35">
      <c r="A203" s="44"/>
      <c r="B203" s="44"/>
    </row>
    <row r="204" spans="1:2" ht="11.25" customHeight="1" x14ac:dyDescent="0.35">
      <c r="A204" s="44"/>
      <c r="B204" s="44"/>
    </row>
    <row r="205" spans="1:2" ht="11.25" customHeight="1" x14ac:dyDescent="0.35">
      <c r="A205" s="44"/>
      <c r="B205" s="44"/>
    </row>
    <row r="206" spans="1:2" ht="11.25" customHeight="1" x14ac:dyDescent="0.35">
      <c r="A206" s="44"/>
      <c r="B206" s="44"/>
    </row>
    <row r="207" spans="1:2" ht="11.25" customHeight="1" x14ac:dyDescent="0.35">
      <c r="A207" s="44"/>
      <c r="B207" s="44"/>
    </row>
    <row r="208" spans="1:2" ht="11.25" customHeight="1" x14ac:dyDescent="0.35">
      <c r="A208" s="44"/>
      <c r="B208" s="44"/>
    </row>
    <row r="209" spans="1:2" ht="11.25" customHeight="1" x14ac:dyDescent="0.35">
      <c r="A209" s="44"/>
      <c r="B209" s="44"/>
    </row>
    <row r="210" spans="1:2" ht="11.25" customHeight="1" x14ac:dyDescent="0.35">
      <c r="A210" s="44"/>
      <c r="B210" s="44"/>
    </row>
    <row r="211" spans="1:2" ht="11.25" customHeight="1" x14ac:dyDescent="0.35">
      <c r="A211" s="44"/>
      <c r="B211" s="44"/>
    </row>
    <row r="212" spans="1:2" ht="11.25" customHeight="1" x14ac:dyDescent="0.35">
      <c r="A212" s="44"/>
      <c r="B212" s="44"/>
    </row>
    <row r="213" spans="1:2" ht="11.25" customHeight="1" x14ac:dyDescent="0.35">
      <c r="A213" s="44"/>
      <c r="B213" s="44"/>
    </row>
    <row r="214" spans="1:2" ht="11.25" customHeight="1" x14ac:dyDescent="0.35">
      <c r="A214" s="44"/>
      <c r="B214" s="44"/>
    </row>
    <row r="215" spans="1:2" ht="11.25" customHeight="1" x14ac:dyDescent="0.35">
      <c r="A215" s="44"/>
      <c r="B215" s="44"/>
    </row>
    <row r="216" spans="1:2" ht="11.25" customHeight="1" x14ac:dyDescent="0.35">
      <c r="A216" s="44"/>
      <c r="B216" s="44"/>
    </row>
    <row r="217" spans="1:2" ht="11.25" customHeight="1" x14ac:dyDescent="0.35">
      <c r="A217" s="44"/>
      <c r="B217" s="44"/>
    </row>
    <row r="218" spans="1:2" ht="11.25" customHeight="1" x14ac:dyDescent="0.35">
      <c r="A218" s="44"/>
      <c r="B218" s="44"/>
    </row>
    <row r="219" spans="1:2" ht="11.25" customHeight="1" x14ac:dyDescent="0.35">
      <c r="A219" s="44"/>
      <c r="B219" s="44"/>
    </row>
    <row r="220" spans="1:2" ht="11.25" customHeight="1" x14ac:dyDescent="0.35">
      <c r="A220" s="44"/>
      <c r="B220" s="44"/>
    </row>
    <row r="221" spans="1:2" ht="11.25" customHeight="1" x14ac:dyDescent="0.35">
      <c r="A221" s="44"/>
      <c r="B221" s="44"/>
    </row>
    <row r="222" spans="1:2" ht="11.25" customHeight="1" x14ac:dyDescent="0.35">
      <c r="A222" s="44"/>
      <c r="B222" s="44"/>
    </row>
    <row r="223" spans="1:2" ht="11.25" customHeight="1" x14ac:dyDescent="0.35">
      <c r="A223" s="44"/>
      <c r="B223" s="44"/>
    </row>
    <row r="224" spans="1:2" ht="11.25" customHeight="1" x14ac:dyDescent="0.35">
      <c r="A224" s="44"/>
      <c r="B224" s="44"/>
    </row>
    <row r="225" spans="1:2" ht="11.25" customHeight="1" x14ac:dyDescent="0.35">
      <c r="A225" s="44"/>
      <c r="B225" s="44"/>
    </row>
    <row r="226" spans="1:2" ht="11.25" customHeight="1" x14ac:dyDescent="0.35">
      <c r="A226" s="44"/>
      <c r="B226" s="44"/>
    </row>
    <row r="227" spans="1:2" ht="11.25" customHeight="1" x14ac:dyDescent="0.35">
      <c r="A227" s="44"/>
      <c r="B227" s="44"/>
    </row>
    <row r="228" spans="1:2" ht="11.25" customHeight="1" x14ac:dyDescent="0.35">
      <c r="A228" s="44"/>
      <c r="B228" s="44"/>
    </row>
    <row r="229" spans="1:2" ht="11.25" customHeight="1" x14ac:dyDescent="0.35">
      <c r="A229" s="44"/>
      <c r="B229" s="44"/>
    </row>
    <row r="230" spans="1:2" ht="11.25" customHeight="1" x14ac:dyDescent="0.35">
      <c r="A230" s="44"/>
      <c r="B230" s="44"/>
    </row>
    <row r="231" spans="1:2" ht="11.25" customHeight="1" x14ac:dyDescent="0.35">
      <c r="A231" s="44"/>
      <c r="B231" s="44"/>
    </row>
    <row r="232" spans="1:2" ht="11.25" customHeight="1" x14ac:dyDescent="0.35">
      <c r="A232" s="44"/>
      <c r="B232" s="44"/>
    </row>
    <row r="233" spans="1:2" ht="11.25" customHeight="1" x14ac:dyDescent="0.35">
      <c r="A233" s="44"/>
      <c r="B233" s="44"/>
    </row>
    <row r="234" spans="1:2" ht="11.25" customHeight="1" x14ac:dyDescent="0.35">
      <c r="A234" s="44"/>
      <c r="B234" s="44"/>
    </row>
    <row r="235" spans="1:2" ht="11.25" customHeight="1" x14ac:dyDescent="0.35">
      <c r="A235" s="44"/>
      <c r="B235" s="44"/>
    </row>
    <row r="236" spans="1:2" ht="11.25" customHeight="1" x14ac:dyDescent="0.35">
      <c r="A236" s="44"/>
      <c r="B236" s="44"/>
    </row>
    <row r="237" spans="1:2" ht="11.25" customHeight="1" x14ac:dyDescent="0.35">
      <c r="A237" s="44"/>
      <c r="B237" s="44"/>
    </row>
    <row r="238" spans="1:2" ht="11.25" customHeight="1" x14ac:dyDescent="0.35">
      <c r="A238" s="44"/>
      <c r="B238" s="44"/>
    </row>
    <row r="239" spans="1:2" ht="11.25" customHeight="1" x14ac:dyDescent="0.35">
      <c r="A239" s="44"/>
      <c r="B239" s="44"/>
    </row>
    <row r="240" spans="1:2" ht="11.25" customHeight="1" x14ac:dyDescent="0.35">
      <c r="A240" s="44"/>
      <c r="B240" s="44"/>
    </row>
    <row r="241" spans="1:2" ht="11.25" customHeight="1" x14ac:dyDescent="0.35">
      <c r="A241" s="44"/>
      <c r="B241" s="44"/>
    </row>
    <row r="242" spans="1:2" ht="11.25" customHeight="1" x14ac:dyDescent="0.35">
      <c r="A242" s="44"/>
      <c r="B242" s="44"/>
    </row>
    <row r="243" spans="1:2" ht="11.25" customHeight="1" x14ac:dyDescent="0.35">
      <c r="A243" s="44"/>
      <c r="B243" s="44"/>
    </row>
    <row r="244" spans="1:2" ht="11.25" customHeight="1" x14ac:dyDescent="0.35">
      <c r="A244" s="44"/>
      <c r="B244" s="44"/>
    </row>
    <row r="245" spans="1:2" ht="11.25" customHeight="1" x14ac:dyDescent="0.35">
      <c r="A245" s="44"/>
      <c r="B245" s="44"/>
    </row>
    <row r="246" spans="1:2" ht="11.25" customHeight="1" x14ac:dyDescent="0.35">
      <c r="A246" s="44"/>
      <c r="B246" s="44"/>
    </row>
    <row r="247" spans="1:2" ht="11.25" customHeight="1" x14ac:dyDescent="0.35">
      <c r="A247" s="44"/>
      <c r="B247" s="44"/>
    </row>
    <row r="248" spans="1:2" ht="11.25" customHeight="1" x14ac:dyDescent="0.35">
      <c r="A248" s="44"/>
      <c r="B248" s="44"/>
    </row>
    <row r="249" spans="1:2" ht="11.25" customHeight="1" x14ac:dyDescent="0.35">
      <c r="A249" s="44"/>
      <c r="B249" s="44"/>
    </row>
    <row r="250" spans="1:2" ht="11.25" customHeight="1" x14ac:dyDescent="0.35">
      <c r="A250" s="44"/>
      <c r="B250" s="44"/>
    </row>
    <row r="251" spans="1:2" ht="11.25" customHeight="1" x14ac:dyDescent="0.35">
      <c r="A251" s="44"/>
      <c r="B251" s="44"/>
    </row>
    <row r="252" spans="1:2" ht="11.25" customHeight="1" x14ac:dyDescent="0.35">
      <c r="A252" s="44"/>
      <c r="B252" s="44"/>
    </row>
    <row r="253" spans="1:2" ht="11.25" customHeight="1" x14ac:dyDescent="0.35">
      <c r="A253" s="44"/>
      <c r="B253" s="44"/>
    </row>
    <row r="254" spans="1:2" ht="11.25" customHeight="1" x14ac:dyDescent="0.35">
      <c r="A254" s="44"/>
      <c r="B254" s="44"/>
    </row>
    <row r="255" spans="1:2" ht="11.25" customHeight="1" x14ac:dyDescent="0.35">
      <c r="A255" s="44"/>
      <c r="B255" s="44"/>
    </row>
    <row r="256" spans="1:2" ht="11.25" customHeight="1" x14ac:dyDescent="0.35">
      <c r="A256" s="44"/>
      <c r="B256" s="44"/>
    </row>
    <row r="257" spans="1:2" ht="11.25" customHeight="1" x14ac:dyDescent="0.35">
      <c r="A257" s="44"/>
      <c r="B257" s="44"/>
    </row>
    <row r="258" spans="1:2" ht="11.25" customHeight="1" x14ac:dyDescent="0.35">
      <c r="A258" s="44"/>
      <c r="B258" s="44"/>
    </row>
    <row r="259" spans="1:2" ht="11.25" customHeight="1" x14ac:dyDescent="0.35">
      <c r="A259" s="44"/>
      <c r="B259" s="44"/>
    </row>
    <row r="260" spans="1:2" ht="11.25" customHeight="1" x14ac:dyDescent="0.35">
      <c r="A260" s="44"/>
      <c r="B260" s="44"/>
    </row>
    <row r="261" spans="1:2" ht="11.25" customHeight="1" x14ac:dyDescent="0.35">
      <c r="A261" s="44"/>
      <c r="B261" s="44"/>
    </row>
    <row r="262" spans="1:2" ht="11.25" customHeight="1" x14ac:dyDescent="0.35">
      <c r="A262" s="44"/>
      <c r="B262" s="44"/>
    </row>
    <row r="263" spans="1:2" ht="11.25" customHeight="1" x14ac:dyDescent="0.35">
      <c r="A263" s="44"/>
      <c r="B263" s="44"/>
    </row>
    <row r="264" spans="1:2" ht="11.25" customHeight="1" x14ac:dyDescent="0.35">
      <c r="A264" s="44"/>
      <c r="B264" s="44"/>
    </row>
    <row r="265" spans="1:2" ht="11.25" customHeight="1" x14ac:dyDescent="0.35">
      <c r="A265" s="44"/>
      <c r="B265" s="44"/>
    </row>
    <row r="266" spans="1:2" ht="11.25" customHeight="1" x14ac:dyDescent="0.35">
      <c r="A266" s="44"/>
      <c r="B266" s="44"/>
    </row>
    <row r="267" spans="1:2" ht="11.25" customHeight="1" x14ac:dyDescent="0.35">
      <c r="A267" s="44"/>
      <c r="B267" s="44"/>
    </row>
    <row r="268" spans="1:2" ht="11.25" customHeight="1" x14ac:dyDescent="0.35">
      <c r="A268" s="44"/>
      <c r="B268" s="44"/>
    </row>
    <row r="269" spans="1:2" ht="11.25" customHeight="1" x14ac:dyDescent="0.35">
      <c r="A269" s="44"/>
      <c r="B269" s="44"/>
    </row>
    <row r="270" spans="1:2" ht="11.25" customHeight="1" x14ac:dyDescent="0.35">
      <c r="A270" s="44"/>
      <c r="B270" s="44"/>
    </row>
    <row r="271" spans="1:2" ht="11.25" customHeight="1" x14ac:dyDescent="0.35">
      <c r="A271" s="44"/>
      <c r="B271" s="44"/>
    </row>
    <row r="272" spans="1:2" ht="11.25" customHeight="1" x14ac:dyDescent="0.35">
      <c r="A272" s="44"/>
      <c r="B272" s="44"/>
    </row>
    <row r="273" spans="1:2" ht="11.25" customHeight="1" x14ac:dyDescent="0.35">
      <c r="A273" s="44"/>
      <c r="B273" s="44"/>
    </row>
    <row r="274" spans="1:2" ht="11.25" customHeight="1" x14ac:dyDescent="0.35">
      <c r="A274" s="44"/>
      <c r="B274" s="44"/>
    </row>
    <row r="275" spans="1:2" ht="11.25" customHeight="1" x14ac:dyDescent="0.35">
      <c r="A275" s="44"/>
      <c r="B275" s="44"/>
    </row>
    <row r="276" spans="1:2" ht="11.25" customHeight="1" x14ac:dyDescent="0.35">
      <c r="A276" s="44"/>
      <c r="B276" s="44"/>
    </row>
    <row r="277" spans="1:2" ht="11.25" customHeight="1" x14ac:dyDescent="0.35">
      <c r="A277" s="44"/>
      <c r="B277" s="44"/>
    </row>
    <row r="278" spans="1:2" ht="11.25" customHeight="1" x14ac:dyDescent="0.35">
      <c r="A278" s="44"/>
      <c r="B278" s="44"/>
    </row>
    <row r="279" spans="1:2" ht="11.25" customHeight="1" x14ac:dyDescent="0.35">
      <c r="A279" s="44"/>
      <c r="B279" s="44"/>
    </row>
    <row r="280" spans="1:2" ht="11.25" customHeight="1" x14ac:dyDescent="0.35">
      <c r="A280" s="44"/>
      <c r="B280" s="44"/>
    </row>
    <row r="281" spans="1:2" ht="11.25" customHeight="1" x14ac:dyDescent="0.35">
      <c r="A281" s="44"/>
      <c r="B281" s="44"/>
    </row>
    <row r="282" spans="1:2" ht="11.25" customHeight="1" x14ac:dyDescent="0.35">
      <c r="A282" s="44"/>
      <c r="B282" s="44"/>
    </row>
    <row r="283" spans="1:2" ht="11.25" customHeight="1" x14ac:dyDescent="0.35">
      <c r="A283" s="44"/>
      <c r="B283" s="44"/>
    </row>
    <row r="284" spans="1:2" ht="11.25" customHeight="1" x14ac:dyDescent="0.35">
      <c r="A284" s="44"/>
      <c r="B284" s="44"/>
    </row>
    <row r="285" spans="1:2" ht="11.25" customHeight="1" x14ac:dyDescent="0.35">
      <c r="A285" s="44"/>
      <c r="B285" s="44"/>
    </row>
    <row r="286" spans="1:2" ht="11.25" customHeight="1" x14ac:dyDescent="0.35">
      <c r="A286" s="44"/>
      <c r="B286" s="44"/>
    </row>
    <row r="287" spans="1:2" ht="11.25" customHeight="1" x14ac:dyDescent="0.35">
      <c r="A287" s="44"/>
      <c r="B287" s="44"/>
    </row>
    <row r="288" spans="1:2" ht="11.25" customHeight="1" x14ac:dyDescent="0.35">
      <c r="A288" s="44"/>
      <c r="B288" s="44"/>
    </row>
    <row r="289" spans="1:2" ht="11.25" customHeight="1" x14ac:dyDescent="0.35">
      <c r="A289" s="44"/>
      <c r="B289" s="44"/>
    </row>
    <row r="290" spans="1:2" ht="11.25" customHeight="1" x14ac:dyDescent="0.35">
      <c r="A290" s="44"/>
      <c r="B290" s="44"/>
    </row>
    <row r="291" spans="1:2" ht="11.25" customHeight="1" x14ac:dyDescent="0.35">
      <c r="A291" s="44"/>
      <c r="B291" s="44"/>
    </row>
    <row r="292" spans="1:2" ht="11.25" customHeight="1" x14ac:dyDescent="0.35">
      <c r="A292" s="44"/>
      <c r="B292" s="44"/>
    </row>
    <row r="293" spans="1:2" ht="11.25" customHeight="1" x14ac:dyDescent="0.35">
      <c r="A293" s="44"/>
      <c r="B293" s="44"/>
    </row>
    <row r="294" spans="1:2" ht="11.25" customHeight="1" x14ac:dyDescent="0.35">
      <c r="A294" s="44"/>
      <c r="B294" s="44"/>
    </row>
    <row r="295" spans="1:2" ht="11.25" customHeight="1" x14ac:dyDescent="0.35">
      <c r="A295" s="44"/>
      <c r="B295" s="44"/>
    </row>
    <row r="296" spans="1:2" ht="11.25" customHeight="1" x14ac:dyDescent="0.35">
      <c r="A296" s="44"/>
      <c r="B296" s="44"/>
    </row>
    <row r="297" spans="1:2" ht="11.25" customHeight="1" x14ac:dyDescent="0.35">
      <c r="A297" s="44"/>
      <c r="B297" s="44"/>
    </row>
    <row r="298" spans="1:2" ht="11.25" customHeight="1" x14ac:dyDescent="0.35">
      <c r="A298" s="44"/>
      <c r="B298" s="44"/>
    </row>
    <row r="299" spans="1:2" ht="11.25" customHeight="1" x14ac:dyDescent="0.35">
      <c r="A299" s="44"/>
      <c r="B299" s="44"/>
    </row>
    <row r="300" spans="1:2" ht="11.25" customHeight="1" x14ac:dyDescent="0.35">
      <c r="A300" s="44"/>
      <c r="B300" s="44"/>
    </row>
    <row r="301" spans="1:2" ht="11.25" customHeight="1" x14ac:dyDescent="0.35">
      <c r="A301" s="44"/>
      <c r="B301" s="44"/>
    </row>
    <row r="302" spans="1:2" ht="11.25" customHeight="1" x14ac:dyDescent="0.35">
      <c r="A302" s="44"/>
      <c r="B302" s="44"/>
    </row>
    <row r="303" spans="1:2" ht="11.25" customHeight="1" x14ac:dyDescent="0.35">
      <c r="A303" s="44"/>
      <c r="B303" s="44"/>
    </row>
    <row r="304" spans="1:2" ht="11.25" customHeight="1" x14ac:dyDescent="0.35">
      <c r="A304" s="44"/>
      <c r="B304" s="44"/>
    </row>
    <row r="305" spans="1:2" ht="11.25" customHeight="1" x14ac:dyDescent="0.35">
      <c r="A305" s="44"/>
      <c r="B305" s="44"/>
    </row>
    <row r="306" spans="1:2" ht="11.25" customHeight="1" x14ac:dyDescent="0.35">
      <c r="A306" s="44"/>
      <c r="B306" s="44"/>
    </row>
    <row r="307" spans="1:2" ht="11.25" customHeight="1" x14ac:dyDescent="0.35">
      <c r="A307" s="44"/>
      <c r="B307" s="44"/>
    </row>
    <row r="308" spans="1:2" ht="11.25" customHeight="1" x14ac:dyDescent="0.35">
      <c r="A308" s="44"/>
      <c r="B308" s="44"/>
    </row>
    <row r="309" spans="1:2" ht="11.25" customHeight="1" x14ac:dyDescent="0.35">
      <c r="A309" s="44"/>
      <c r="B309" s="44"/>
    </row>
    <row r="310" spans="1:2" ht="11.25" customHeight="1" x14ac:dyDescent="0.35">
      <c r="A310" s="44"/>
      <c r="B310" s="44"/>
    </row>
    <row r="311" spans="1:2" ht="11.25" customHeight="1" x14ac:dyDescent="0.35">
      <c r="A311" s="44"/>
      <c r="B311" s="44"/>
    </row>
    <row r="312" spans="1:2" ht="11.25" customHeight="1" x14ac:dyDescent="0.35">
      <c r="A312" s="44"/>
      <c r="B312" s="44"/>
    </row>
    <row r="313" spans="1:2" ht="11.25" customHeight="1" x14ac:dyDescent="0.35">
      <c r="A313" s="44"/>
      <c r="B313" s="44"/>
    </row>
    <row r="314" spans="1:2" ht="11.25" customHeight="1" x14ac:dyDescent="0.35">
      <c r="A314" s="44"/>
      <c r="B314" s="44"/>
    </row>
    <row r="315" spans="1:2" ht="11.25" customHeight="1" x14ac:dyDescent="0.35">
      <c r="A315" s="44"/>
      <c r="B315" s="44"/>
    </row>
    <row r="316" spans="1:2" ht="11.25" customHeight="1" x14ac:dyDescent="0.35">
      <c r="A316" s="44"/>
      <c r="B316" s="44"/>
    </row>
    <row r="317" spans="1:2" ht="11.25" customHeight="1" x14ac:dyDescent="0.35">
      <c r="A317" s="44"/>
      <c r="B317" s="44"/>
    </row>
    <row r="318" spans="1:2" ht="11.25" customHeight="1" x14ac:dyDescent="0.35">
      <c r="A318" s="44"/>
      <c r="B318" s="44"/>
    </row>
    <row r="319" spans="1:2" ht="11.25" customHeight="1" x14ac:dyDescent="0.35">
      <c r="A319" s="44"/>
      <c r="B319" s="44"/>
    </row>
    <row r="320" spans="1:2" ht="11.25" customHeight="1" x14ac:dyDescent="0.35">
      <c r="A320" s="44"/>
      <c r="B320" s="44"/>
    </row>
    <row r="321" spans="1:2" ht="11.25" customHeight="1" x14ac:dyDescent="0.35">
      <c r="A321" s="44"/>
      <c r="B321" s="44"/>
    </row>
    <row r="322" spans="1:2" ht="11.25" customHeight="1" x14ac:dyDescent="0.35">
      <c r="A322" s="44"/>
      <c r="B322" s="44"/>
    </row>
    <row r="323" spans="1:2" ht="11.25" customHeight="1" x14ac:dyDescent="0.35">
      <c r="A323" s="44"/>
      <c r="B323" s="44"/>
    </row>
    <row r="324" spans="1:2" ht="11.25" customHeight="1" x14ac:dyDescent="0.35">
      <c r="A324" s="44"/>
      <c r="B324" s="44"/>
    </row>
    <row r="325" spans="1:2" ht="11.25" customHeight="1" x14ac:dyDescent="0.35">
      <c r="A325" s="44"/>
      <c r="B325" s="44"/>
    </row>
    <row r="326" spans="1:2" ht="11.25" customHeight="1" x14ac:dyDescent="0.35">
      <c r="A326" s="44"/>
      <c r="B326" s="44"/>
    </row>
    <row r="327" spans="1:2" ht="11.25" customHeight="1" x14ac:dyDescent="0.35">
      <c r="A327" s="44"/>
      <c r="B327" s="44"/>
    </row>
    <row r="328" spans="1:2" ht="11.25" customHeight="1" x14ac:dyDescent="0.35">
      <c r="A328" s="44"/>
      <c r="B328" s="44"/>
    </row>
    <row r="329" spans="1:2" ht="11.25" customHeight="1" x14ac:dyDescent="0.35">
      <c r="A329" s="44"/>
      <c r="B329" s="44"/>
    </row>
    <row r="330" spans="1:2" ht="11.25" customHeight="1" x14ac:dyDescent="0.35">
      <c r="A330" s="44"/>
      <c r="B330" s="44"/>
    </row>
    <row r="331" spans="1:2" ht="11.25" customHeight="1" x14ac:dyDescent="0.35">
      <c r="A331" s="44"/>
      <c r="B331" s="44"/>
    </row>
    <row r="332" spans="1:2" ht="11.25" customHeight="1" x14ac:dyDescent="0.35">
      <c r="A332" s="44"/>
      <c r="B332" s="44"/>
    </row>
    <row r="333" spans="1:2" ht="11.25" customHeight="1" x14ac:dyDescent="0.35">
      <c r="A333" s="44"/>
      <c r="B333" s="44"/>
    </row>
    <row r="334" spans="1:2" ht="11.25" customHeight="1" x14ac:dyDescent="0.35">
      <c r="A334" s="44"/>
      <c r="B334" s="44"/>
    </row>
    <row r="335" spans="1:2" ht="11.25" customHeight="1" x14ac:dyDescent="0.35">
      <c r="A335" s="44"/>
      <c r="B335" s="44"/>
    </row>
    <row r="336" spans="1:2" ht="11.25" customHeight="1" x14ac:dyDescent="0.35">
      <c r="A336" s="44"/>
      <c r="B336" s="44"/>
    </row>
    <row r="337" spans="1:2" ht="11.25" customHeight="1" x14ac:dyDescent="0.35">
      <c r="A337" s="44"/>
      <c r="B337" s="44"/>
    </row>
    <row r="338" spans="1:2" ht="11.25" customHeight="1" x14ac:dyDescent="0.35">
      <c r="A338" s="44"/>
      <c r="B338" s="44"/>
    </row>
    <row r="339" spans="1:2" ht="11.25" customHeight="1" x14ac:dyDescent="0.35">
      <c r="A339" s="44"/>
      <c r="B339" s="44"/>
    </row>
    <row r="340" spans="1:2" ht="11.25" customHeight="1" x14ac:dyDescent="0.35">
      <c r="A340" s="44"/>
      <c r="B340" s="44"/>
    </row>
    <row r="341" spans="1:2" ht="11.25" customHeight="1" x14ac:dyDescent="0.35">
      <c r="A341" s="44"/>
      <c r="B341" s="44"/>
    </row>
    <row r="342" spans="1:2" ht="11.25" customHeight="1" x14ac:dyDescent="0.35">
      <c r="A342" s="44"/>
      <c r="B342" s="44"/>
    </row>
    <row r="343" spans="1:2" ht="11.25" customHeight="1" x14ac:dyDescent="0.35">
      <c r="A343" s="44"/>
      <c r="B343" s="44"/>
    </row>
    <row r="344" spans="1:2" ht="11.25" customHeight="1" x14ac:dyDescent="0.35">
      <c r="A344" s="44"/>
      <c r="B344" s="44"/>
    </row>
    <row r="345" spans="1:2" ht="11.25" customHeight="1" x14ac:dyDescent="0.35">
      <c r="A345" s="44"/>
      <c r="B345" s="44"/>
    </row>
    <row r="346" spans="1:2" ht="11.25" customHeight="1" x14ac:dyDescent="0.35">
      <c r="A346" s="44"/>
      <c r="B346" s="44"/>
    </row>
    <row r="347" spans="1:2" ht="11.25" customHeight="1" x14ac:dyDescent="0.35">
      <c r="A347" s="44"/>
      <c r="B347" s="44"/>
    </row>
    <row r="348" spans="1:2" ht="11.25" customHeight="1" x14ac:dyDescent="0.35">
      <c r="A348" s="44"/>
      <c r="B348" s="44"/>
    </row>
    <row r="349" spans="1:2" ht="11.25" customHeight="1" x14ac:dyDescent="0.35">
      <c r="A349" s="44"/>
      <c r="B349" s="44"/>
    </row>
    <row r="350" spans="1:2" ht="11.25" customHeight="1" x14ac:dyDescent="0.35">
      <c r="A350" s="44"/>
      <c r="B350" s="44"/>
    </row>
    <row r="351" spans="1:2" ht="11.25" customHeight="1" x14ac:dyDescent="0.35">
      <c r="A351" s="44"/>
      <c r="B351" s="44"/>
    </row>
    <row r="352" spans="1:2" ht="11.25" customHeight="1" x14ac:dyDescent="0.35">
      <c r="A352" s="44"/>
      <c r="B352" s="44"/>
    </row>
    <row r="353" spans="1:2" ht="11.25" customHeight="1" x14ac:dyDescent="0.35">
      <c r="A353" s="44"/>
      <c r="B353" s="44"/>
    </row>
    <row r="354" spans="1:2" ht="11.25" customHeight="1" x14ac:dyDescent="0.35">
      <c r="A354" s="44"/>
      <c r="B354" s="44"/>
    </row>
    <row r="355" spans="1:2" ht="11.25" customHeight="1" x14ac:dyDescent="0.35">
      <c r="A355" s="44"/>
      <c r="B355" s="44"/>
    </row>
    <row r="356" spans="1:2" ht="11.25" customHeight="1" x14ac:dyDescent="0.35">
      <c r="A356" s="44"/>
      <c r="B356" s="44"/>
    </row>
    <row r="357" spans="1:2" ht="11.25" customHeight="1" x14ac:dyDescent="0.35">
      <c r="A357" s="44"/>
      <c r="B357" s="44"/>
    </row>
    <row r="358" spans="1:2" ht="11.25" customHeight="1" x14ac:dyDescent="0.35">
      <c r="A358" s="44"/>
      <c r="B358" s="44"/>
    </row>
    <row r="359" spans="1:2" ht="11.25" customHeight="1" x14ac:dyDescent="0.35">
      <c r="A359" s="44"/>
      <c r="B359" s="44"/>
    </row>
    <row r="360" spans="1:2" ht="11.25" customHeight="1" x14ac:dyDescent="0.35">
      <c r="A360" s="44"/>
      <c r="B360" s="44"/>
    </row>
    <row r="361" spans="1:2" ht="11.25" customHeight="1" x14ac:dyDescent="0.35">
      <c r="A361" s="44"/>
      <c r="B361" s="44"/>
    </row>
    <row r="362" spans="1:2" ht="11.25" customHeight="1" x14ac:dyDescent="0.35">
      <c r="A362" s="44"/>
      <c r="B362" s="44"/>
    </row>
    <row r="363" spans="1:2" ht="11.25" customHeight="1" x14ac:dyDescent="0.35">
      <c r="A363" s="44"/>
      <c r="B363" s="44"/>
    </row>
    <row r="364" spans="1:2" ht="11.25" customHeight="1" x14ac:dyDescent="0.35">
      <c r="A364" s="44"/>
      <c r="B364" s="44"/>
    </row>
    <row r="365" spans="1:2" ht="11.25" customHeight="1" x14ac:dyDescent="0.35">
      <c r="A365" s="44"/>
      <c r="B365" s="44"/>
    </row>
    <row r="366" spans="1:2" ht="11.25" customHeight="1" x14ac:dyDescent="0.35">
      <c r="A366" s="44"/>
      <c r="B366" s="44"/>
    </row>
    <row r="367" spans="1:2" ht="11.25" customHeight="1" x14ac:dyDescent="0.35">
      <c r="A367" s="44"/>
      <c r="B367" s="44"/>
    </row>
    <row r="368" spans="1:2" ht="11.25" customHeight="1" x14ac:dyDescent="0.35">
      <c r="A368" s="44"/>
      <c r="B368" s="44"/>
    </row>
    <row r="369" spans="1:2" ht="11.25" customHeight="1" x14ac:dyDescent="0.35">
      <c r="A369" s="44"/>
      <c r="B369" s="44"/>
    </row>
    <row r="370" spans="1:2" ht="11.25" customHeight="1" x14ac:dyDescent="0.35">
      <c r="A370" s="44"/>
      <c r="B370" s="44"/>
    </row>
    <row r="371" spans="1:2" ht="11.25" customHeight="1" x14ac:dyDescent="0.35">
      <c r="A371" s="44"/>
      <c r="B371" s="44"/>
    </row>
    <row r="372" spans="1:2" ht="11.25" customHeight="1" x14ac:dyDescent="0.35">
      <c r="A372" s="44"/>
      <c r="B372" s="44"/>
    </row>
    <row r="373" spans="1:2" ht="11.25" customHeight="1" x14ac:dyDescent="0.35">
      <c r="A373" s="44"/>
      <c r="B373" s="44"/>
    </row>
    <row r="374" spans="1:2" ht="11.25" customHeight="1" x14ac:dyDescent="0.35">
      <c r="A374" s="44"/>
      <c r="B374" s="44"/>
    </row>
    <row r="375" spans="1:2" ht="11.25" customHeight="1" x14ac:dyDescent="0.35">
      <c r="A375" s="44"/>
      <c r="B375" s="44"/>
    </row>
    <row r="376" spans="1:2" ht="11.25" customHeight="1" x14ac:dyDescent="0.35">
      <c r="A376" s="44"/>
      <c r="B376" s="44"/>
    </row>
    <row r="377" spans="1:2" ht="11.25" customHeight="1" x14ac:dyDescent="0.35">
      <c r="A377" s="44"/>
      <c r="B377" s="44"/>
    </row>
    <row r="378" spans="1:2" ht="11.25" customHeight="1" x14ac:dyDescent="0.35">
      <c r="A378" s="44"/>
      <c r="B378" s="44"/>
    </row>
    <row r="379" spans="1:2" ht="11.25" customHeight="1" x14ac:dyDescent="0.35">
      <c r="A379" s="44"/>
      <c r="B379" s="44"/>
    </row>
    <row r="380" spans="1:2" ht="11.25" customHeight="1" x14ac:dyDescent="0.35">
      <c r="A380" s="44"/>
      <c r="B380" s="44"/>
    </row>
    <row r="381" spans="1:2" ht="11.25" customHeight="1" x14ac:dyDescent="0.35">
      <c r="A381" s="44"/>
      <c r="B381" s="44"/>
    </row>
    <row r="382" spans="1:2" ht="11.25" customHeight="1" x14ac:dyDescent="0.35">
      <c r="A382" s="44"/>
      <c r="B382" s="44"/>
    </row>
    <row r="383" spans="1:2" ht="11.25" customHeight="1" x14ac:dyDescent="0.35">
      <c r="A383" s="44"/>
      <c r="B383" s="44"/>
    </row>
    <row r="384" spans="1:2" ht="11.25" customHeight="1" x14ac:dyDescent="0.35">
      <c r="A384" s="44"/>
      <c r="B384" s="44"/>
    </row>
    <row r="385" spans="1:2" ht="11.25" customHeight="1" x14ac:dyDescent="0.35">
      <c r="A385" s="44"/>
      <c r="B385" s="44"/>
    </row>
    <row r="386" spans="1:2" ht="11.25" customHeight="1" x14ac:dyDescent="0.35">
      <c r="A386" s="44"/>
      <c r="B386" s="44"/>
    </row>
    <row r="387" spans="1:2" ht="11.25" customHeight="1" x14ac:dyDescent="0.35">
      <c r="A387" s="44"/>
      <c r="B387" s="44"/>
    </row>
    <row r="388" spans="1:2" ht="11.25" customHeight="1" x14ac:dyDescent="0.35">
      <c r="A388" s="44"/>
      <c r="B388" s="44"/>
    </row>
    <row r="389" spans="1:2" ht="11.25" customHeight="1" x14ac:dyDescent="0.35">
      <c r="A389" s="44"/>
      <c r="B389" s="44"/>
    </row>
    <row r="390" spans="1:2" ht="11.25" customHeight="1" x14ac:dyDescent="0.35">
      <c r="A390" s="44"/>
      <c r="B390" s="44"/>
    </row>
    <row r="391" spans="1:2" ht="11.25" customHeight="1" x14ac:dyDescent="0.35">
      <c r="A391" s="44"/>
      <c r="B391" s="44"/>
    </row>
    <row r="392" spans="1:2" ht="11.25" customHeight="1" x14ac:dyDescent="0.35">
      <c r="A392" s="44"/>
      <c r="B392" s="44"/>
    </row>
    <row r="393" spans="1:2" ht="11.25" customHeight="1" x14ac:dyDescent="0.35">
      <c r="A393" s="44"/>
      <c r="B393" s="44"/>
    </row>
    <row r="394" spans="1:2" ht="11.25" customHeight="1" x14ac:dyDescent="0.35">
      <c r="A394" s="44"/>
      <c r="B394" s="44"/>
    </row>
    <row r="395" spans="1:2" ht="11.25" customHeight="1" x14ac:dyDescent="0.35">
      <c r="A395" s="44"/>
      <c r="B395" s="44"/>
    </row>
    <row r="396" spans="1:2" ht="11.25" customHeight="1" x14ac:dyDescent="0.35">
      <c r="A396" s="44"/>
      <c r="B396" s="44"/>
    </row>
    <row r="397" spans="1:2" ht="11.25" customHeight="1" x14ac:dyDescent="0.35">
      <c r="A397" s="44"/>
      <c r="B397" s="44"/>
    </row>
    <row r="398" spans="1:2" ht="11.25" customHeight="1" x14ac:dyDescent="0.35">
      <c r="A398" s="44"/>
      <c r="B398" s="44"/>
    </row>
    <row r="399" spans="1:2" ht="11.25" customHeight="1" x14ac:dyDescent="0.35">
      <c r="A399" s="44"/>
      <c r="B399" s="44"/>
    </row>
    <row r="400" spans="1:2" ht="11.25" customHeight="1" x14ac:dyDescent="0.35">
      <c r="A400" s="44"/>
      <c r="B400" s="44"/>
    </row>
    <row r="401" spans="1:2" ht="11.25" customHeight="1" x14ac:dyDescent="0.35">
      <c r="A401" s="44"/>
      <c r="B401" s="44"/>
    </row>
    <row r="402" spans="1:2" ht="11.25" customHeight="1" x14ac:dyDescent="0.35">
      <c r="A402" s="44"/>
      <c r="B402" s="44"/>
    </row>
    <row r="403" spans="1:2" ht="11.25" customHeight="1" x14ac:dyDescent="0.35">
      <c r="A403" s="44"/>
      <c r="B403" s="44"/>
    </row>
    <row r="404" spans="1:2" ht="11.25" customHeight="1" x14ac:dyDescent="0.35">
      <c r="A404" s="44"/>
      <c r="B404" s="44"/>
    </row>
    <row r="405" spans="1:2" ht="11.25" customHeight="1" x14ac:dyDescent="0.35">
      <c r="A405" s="44"/>
      <c r="B405" s="44"/>
    </row>
    <row r="406" spans="1:2" ht="11.25" customHeight="1" x14ac:dyDescent="0.35">
      <c r="A406" s="44"/>
      <c r="B406" s="44"/>
    </row>
    <row r="407" spans="1:2" ht="11.25" customHeight="1" x14ac:dyDescent="0.35">
      <c r="A407" s="44"/>
      <c r="B407" s="44"/>
    </row>
    <row r="408" spans="1:2" ht="11.25" customHeight="1" x14ac:dyDescent="0.35">
      <c r="A408" s="44"/>
      <c r="B408" s="44"/>
    </row>
    <row r="409" spans="1:2" ht="11.25" customHeight="1" x14ac:dyDescent="0.35">
      <c r="A409" s="44"/>
      <c r="B409" s="44"/>
    </row>
    <row r="410" spans="1:2" ht="11.25" customHeight="1" x14ac:dyDescent="0.35">
      <c r="A410" s="44"/>
      <c r="B410" s="44"/>
    </row>
    <row r="411" spans="1:2" ht="11.25" customHeight="1" x14ac:dyDescent="0.35">
      <c r="A411" s="44"/>
      <c r="B411" s="44"/>
    </row>
    <row r="412" spans="1:2" ht="11.25" customHeight="1" x14ac:dyDescent="0.35">
      <c r="A412" s="44"/>
      <c r="B412" s="44"/>
    </row>
    <row r="413" spans="1:2" ht="11.25" customHeight="1" x14ac:dyDescent="0.35">
      <c r="A413" s="44"/>
      <c r="B413" s="44"/>
    </row>
    <row r="414" spans="1:2" ht="11.25" customHeight="1" x14ac:dyDescent="0.35">
      <c r="A414" s="44"/>
      <c r="B414" s="44"/>
    </row>
    <row r="415" spans="1:2" ht="11.25" customHeight="1" x14ac:dyDescent="0.35">
      <c r="A415" s="44"/>
      <c r="B415" s="44"/>
    </row>
    <row r="416" spans="1:2" ht="11.25" customHeight="1" x14ac:dyDescent="0.35">
      <c r="A416" s="44"/>
      <c r="B416" s="44"/>
    </row>
    <row r="417" spans="1:2" ht="11.25" customHeight="1" x14ac:dyDescent="0.35">
      <c r="A417" s="44"/>
      <c r="B417" s="44"/>
    </row>
    <row r="418" spans="1:2" ht="11.25" customHeight="1" x14ac:dyDescent="0.35">
      <c r="A418" s="44"/>
      <c r="B418" s="44"/>
    </row>
    <row r="419" spans="1:2" ht="11.25" customHeight="1" x14ac:dyDescent="0.35">
      <c r="A419" s="44"/>
      <c r="B419" s="44"/>
    </row>
    <row r="420" spans="1:2" ht="11.25" customHeight="1" x14ac:dyDescent="0.35">
      <c r="A420" s="44"/>
      <c r="B420" s="44"/>
    </row>
    <row r="421" spans="1:2" ht="11.25" customHeight="1" x14ac:dyDescent="0.35">
      <c r="A421" s="44"/>
      <c r="B421" s="44"/>
    </row>
    <row r="422" spans="1:2" ht="11.25" customHeight="1" x14ac:dyDescent="0.35">
      <c r="A422" s="44"/>
      <c r="B422" s="44"/>
    </row>
    <row r="423" spans="1:2" ht="11.25" customHeight="1" x14ac:dyDescent="0.35">
      <c r="A423" s="44"/>
      <c r="B423" s="44"/>
    </row>
    <row r="424" spans="1:2" ht="11.25" customHeight="1" x14ac:dyDescent="0.35">
      <c r="A424" s="44"/>
      <c r="B424" s="44"/>
    </row>
    <row r="425" spans="1:2" ht="11.25" customHeight="1" x14ac:dyDescent="0.35">
      <c r="A425" s="44"/>
      <c r="B425" s="44"/>
    </row>
    <row r="426" spans="1:2" ht="11.25" customHeight="1" x14ac:dyDescent="0.35">
      <c r="A426" s="44"/>
      <c r="B426" s="44"/>
    </row>
    <row r="427" spans="1:2" ht="11.25" customHeight="1" x14ac:dyDescent="0.35">
      <c r="A427" s="44"/>
      <c r="B427" s="44"/>
    </row>
    <row r="428" spans="1:2" ht="11.25" customHeight="1" x14ac:dyDescent="0.35">
      <c r="A428" s="44"/>
      <c r="B428" s="44"/>
    </row>
    <row r="429" spans="1:2" ht="11.25" customHeight="1" x14ac:dyDescent="0.35">
      <c r="A429" s="44"/>
      <c r="B429" s="44"/>
    </row>
    <row r="430" spans="1:2" ht="11.25" customHeight="1" x14ac:dyDescent="0.35">
      <c r="A430" s="44"/>
      <c r="B430" s="44"/>
    </row>
    <row r="431" spans="1:2" ht="11.25" customHeight="1" x14ac:dyDescent="0.35">
      <c r="A431" s="44"/>
      <c r="B431" s="44"/>
    </row>
    <row r="432" spans="1:2" ht="11.25" customHeight="1" x14ac:dyDescent="0.35">
      <c r="A432" s="44"/>
      <c r="B432" s="44"/>
    </row>
    <row r="433" spans="1:2" ht="11.25" customHeight="1" x14ac:dyDescent="0.35">
      <c r="A433" s="44"/>
      <c r="B433" s="44"/>
    </row>
    <row r="434" spans="1:2" ht="11.25" customHeight="1" x14ac:dyDescent="0.35">
      <c r="A434" s="44"/>
      <c r="B434" s="44"/>
    </row>
    <row r="435" spans="1:2" ht="11.25" customHeight="1" x14ac:dyDescent="0.35">
      <c r="A435" s="44"/>
      <c r="B435" s="44"/>
    </row>
    <row r="436" spans="1:2" ht="11.25" customHeight="1" x14ac:dyDescent="0.35">
      <c r="A436" s="44"/>
      <c r="B436" s="44"/>
    </row>
    <row r="437" spans="1:2" ht="11.25" customHeight="1" x14ac:dyDescent="0.35">
      <c r="A437" s="44"/>
      <c r="B437" s="44"/>
    </row>
    <row r="438" spans="1:2" ht="11.25" customHeight="1" x14ac:dyDescent="0.35">
      <c r="A438" s="44"/>
      <c r="B438" s="44"/>
    </row>
    <row r="439" spans="1:2" ht="11.25" customHeight="1" x14ac:dyDescent="0.35">
      <c r="A439" s="44"/>
      <c r="B439" s="44"/>
    </row>
    <row r="440" spans="1:2" ht="11.25" customHeight="1" x14ac:dyDescent="0.35">
      <c r="A440" s="44"/>
      <c r="B440" s="44"/>
    </row>
    <row r="441" spans="1:2" ht="11.25" customHeight="1" x14ac:dyDescent="0.35">
      <c r="A441" s="44"/>
      <c r="B441" s="44"/>
    </row>
    <row r="442" spans="1:2" ht="11.25" customHeight="1" x14ac:dyDescent="0.35">
      <c r="A442" s="44"/>
      <c r="B442" s="44"/>
    </row>
    <row r="443" spans="1:2" ht="11.25" customHeight="1" x14ac:dyDescent="0.35">
      <c r="A443" s="44"/>
      <c r="B443" s="44"/>
    </row>
    <row r="444" spans="1:2" ht="11.25" customHeight="1" x14ac:dyDescent="0.35">
      <c r="A444" s="44"/>
      <c r="B444" s="44"/>
    </row>
    <row r="445" spans="1:2" ht="11.25" customHeight="1" x14ac:dyDescent="0.35">
      <c r="A445" s="44"/>
      <c r="B445" s="44"/>
    </row>
    <row r="446" spans="1:2" ht="11.25" customHeight="1" x14ac:dyDescent="0.35">
      <c r="A446" s="44"/>
      <c r="B446" s="44"/>
    </row>
    <row r="447" spans="1:2" ht="11.25" customHeight="1" x14ac:dyDescent="0.35">
      <c r="A447" s="44"/>
      <c r="B447" s="44"/>
    </row>
    <row r="448" spans="1:2" ht="11.25" customHeight="1" x14ac:dyDescent="0.35">
      <c r="A448" s="44"/>
      <c r="B448" s="44"/>
    </row>
    <row r="449" spans="1:2" ht="11.25" customHeight="1" x14ac:dyDescent="0.35">
      <c r="A449" s="44"/>
      <c r="B449" s="44"/>
    </row>
    <row r="450" spans="1:2" ht="11.25" customHeight="1" x14ac:dyDescent="0.35">
      <c r="A450" s="44"/>
      <c r="B450" s="44"/>
    </row>
    <row r="451" spans="1:2" ht="11.25" customHeight="1" x14ac:dyDescent="0.35">
      <c r="A451" s="44"/>
      <c r="B451" s="44"/>
    </row>
    <row r="452" spans="1:2" ht="11.25" customHeight="1" x14ac:dyDescent="0.35">
      <c r="A452" s="44"/>
      <c r="B452" s="44"/>
    </row>
    <row r="453" spans="1:2" ht="11.25" customHeight="1" x14ac:dyDescent="0.35">
      <c r="A453" s="44"/>
      <c r="B453" s="44"/>
    </row>
    <row r="454" spans="1:2" ht="11.25" customHeight="1" x14ac:dyDescent="0.35">
      <c r="A454" s="44"/>
      <c r="B454" s="44"/>
    </row>
    <row r="455" spans="1:2" ht="11.25" customHeight="1" x14ac:dyDescent="0.35">
      <c r="A455" s="44"/>
      <c r="B455" s="44"/>
    </row>
    <row r="456" spans="1:2" ht="11.25" customHeight="1" x14ac:dyDescent="0.35">
      <c r="A456" s="44"/>
      <c r="B456" s="44"/>
    </row>
    <row r="457" spans="1:2" ht="11.25" customHeight="1" x14ac:dyDescent="0.35">
      <c r="A457" s="44"/>
      <c r="B457" s="44"/>
    </row>
    <row r="458" spans="1:2" ht="11.25" customHeight="1" x14ac:dyDescent="0.35">
      <c r="A458" s="44"/>
      <c r="B458" s="44"/>
    </row>
    <row r="459" spans="1:2" ht="11.25" customHeight="1" x14ac:dyDescent="0.35">
      <c r="A459" s="44"/>
      <c r="B459" s="44"/>
    </row>
    <row r="460" spans="1:2" ht="11.25" customHeight="1" x14ac:dyDescent="0.35">
      <c r="A460" s="44"/>
      <c r="B460" s="44"/>
    </row>
    <row r="461" spans="1:2" ht="11.25" customHeight="1" x14ac:dyDescent="0.35">
      <c r="A461" s="44"/>
      <c r="B461" s="44"/>
    </row>
    <row r="462" spans="1:2" ht="11.25" customHeight="1" x14ac:dyDescent="0.35">
      <c r="A462" s="44"/>
      <c r="B462" s="44"/>
    </row>
    <row r="463" spans="1:2" ht="11.25" customHeight="1" x14ac:dyDescent="0.35">
      <c r="A463" s="44"/>
      <c r="B463" s="44"/>
    </row>
    <row r="464" spans="1:2" ht="11.25" customHeight="1" x14ac:dyDescent="0.35">
      <c r="A464" s="44"/>
      <c r="B464" s="44"/>
    </row>
    <row r="465" spans="1:2" ht="11.25" customHeight="1" x14ac:dyDescent="0.35">
      <c r="A465" s="44"/>
      <c r="B465" s="44"/>
    </row>
    <row r="466" spans="1:2" ht="11.25" customHeight="1" x14ac:dyDescent="0.35">
      <c r="A466" s="44"/>
      <c r="B466" s="44"/>
    </row>
    <row r="467" spans="1:2" ht="11.25" customHeight="1" x14ac:dyDescent="0.35">
      <c r="A467" s="44"/>
      <c r="B467" s="44"/>
    </row>
    <row r="468" spans="1:2" ht="11.25" customHeight="1" x14ac:dyDescent="0.35">
      <c r="A468" s="44"/>
      <c r="B468" s="44"/>
    </row>
    <row r="469" spans="1:2" ht="11.25" customHeight="1" x14ac:dyDescent="0.35">
      <c r="A469" s="44"/>
      <c r="B469" s="44"/>
    </row>
    <row r="470" spans="1:2" ht="11.25" customHeight="1" x14ac:dyDescent="0.35">
      <c r="A470" s="44"/>
      <c r="B470" s="44"/>
    </row>
    <row r="471" spans="1:2" ht="11.25" customHeight="1" x14ac:dyDescent="0.35">
      <c r="A471" s="44"/>
      <c r="B471" s="44"/>
    </row>
    <row r="472" spans="1:2" ht="11.25" customHeight="1" x14ac:dyDescent="0.35">
      <c r="A472" s="44"/>
      <c r="B472" s="44"/>
    </row>
    <row r="473" spans="1:2" ht="11.25" customHeight="1" x14ac:dyDescent="0.35">
      <c r="A473" s="44"/>
      <c r="B473" s="44"/>
    </row>
    <row r="474" spans="1:2" ht="11.25" customHeight="1" x14ac:dyDescent="0.35">
      <c r="A474" s="44"/>
      <c r="B474" s="44"/>
    </row>
    <row r="475" spans="1:2" ht="11.25" customHeight="1" x14ac:dyDescent="0.35">
      <c r="A475" s="44"/>
      <c r="B475" s="44"/>
    </row>
    <row r="476" spans="1:2" ht="11.25" customHeight="1" x14ac:dyDescent="0.35">
      <c r="A476" s="44"/>
      <c r="B476" s="44"/>
    </row>
    <row r="477" spans="1:2" ht="11.25" customHeight="1" x14ac:dyDescent="0.35">
      <c r="A477" s="44"/>
      <c r="B477" s="44"/>
    </row>
    <row r="478" spans="1:2" ht="11.25" customHeight="1" x14ac:dyDescent="0.35">
      <c r="A478" s="44"/>
      <c r="B478" s="44"/>
    </row>
    <row r="479" spans="1:2" ht="11.25" customHeight="1" x14ac:dyDescent="0.35">
      <c r="A479" s="44"/>
      <c r="B479" s="44"/>
    </row>
    <row r="480" spans="1:2" ht="11.25" customHeight="1" x14ac:dyDescent="0.35">
      <c r="A480" s="44"/>
      <c r="B480" s="44"/>
    </row>
    <row r="481" spans="1:2" ht="11.25" customHeight="1" x14ac:dyDescent="0.35">
      <c r="A481" s="44"/>
      <c r="B481" s="44"/>
    </row>
    <row r="482" spans="1:2" ht="11.25" customHeight="1" x14ac:dyDescent="0.35">
      <c r="A482" s="44"/>
      <c r="B482" s="44"/>
    </row>
    <row r="483" spans="1:2" ht="11.25" customHeight="1" x14ac:dyDescent="0.35">
      <c r="A483" s="44"/>
      <c r="B483" s="44"/>
    </row>
    <row r="484" spans="1:2" ht="11.25" customHeight="1" x14ac:dyDescent="0.35">
      <c r="A484" s="44"/>
      <c r="B484" s="44"/>
    </row>
    <row r="485" spans="1:2" ht="11.25" customHeight="1" x14ac:dyDescent="0.35">
      <c r="A485" s="44"/>
      <c r="B485" s="44"/>
    </row>
    <row r="486" spans="1:2" ht="11.25" customHeight="1" x14ac:dyDescent="0.35">
      <c r="A486" s="44"/>
      <c r="B486" s="44"/>
    </row>
    <row r="487" spans="1:2" ht="11.25" customHeight="1" x14ac:dyDescent="0.35">
      <c r="A487" s="44"/>
      <c r="B487" s="44"/>
    </row>
    <row r="488" spans="1:2" ht="11.25" customHeight="1" x14ac:dyDescent="0.35">
      <c r="A488" s="44"/>
      <c r="B488" s="44"/>
    </row>
    <row r="489" spans="1:2" ht="11.25" customHeight="1" x14ac:dyDescent="0.35">
      <c r="A489" s="44"/>
      <c r="B489" s="44"/>
    </row>
    <row r="490" spans="1:2" ht="11.25" customHeight="1" x14ac:dyDescent="0.35">
      <c r="A490" s="44"/>
      <c r="B490" s="44"/>
    </row>
    <row r="491" spans="1:2" ht="11.25" customHeight="1" x14ac:dyDescent="0.35">
      <c r="A491" s="44"/>
      <c r="B491" s="44"/>
    </row>
    <row r="492" spans="1:2" ht="11.25" customHeight="1" x14ac:dyDescent="0.35">
      <c r="A492" s="44"/>
      <c r="B492" s="44"/>
    </row>
    <row r="493" spans="1:2" ht="11.25" customHeight="1" x14ac:dyDescent="0.35">
      <c r="A493" s="44"/>
      <c r="B493" s="44"/>
    </row>
    <row r="494" spans="1:2" ht="11.25" customHeight="1" x14ac:dyDescent="0.35">
      <c r="A494" s="44"/>
      <c r="B494" s="44"/>
    </row>
    <row r="495" spans="1:2" ht="11.25" customHeight="1" x14ac:dyDescent="0.35">
      <c r="A495" s="44"/>
      <c r="B495" s="44"/>
    </row>
    <row r="496" spans="1:2" ht="11.25" customHeight="1" x14ac:dyDescent="0.35">
      <c r="A496" s="44"/>
      <c r="B496" s="44"/>
    </row>
    <row r="497" spans="1:2" ht="11.25" customHeight="1" x14ac:dyDescent="0.35">
      <c r="A497" s="44"/>
      <c r="B497" s="44"/>
    </row>
    <row r="498" spans="1:2" ht="11.25" customHeight="1" x14ac:dyDescent="0.35">
      <c r="A498" s="44"/>
      <c r="B498" s="44"/>
    </row>
    <row r="499" spans="1:2" ht="11.25" customHeight="1" x14ac:dyDescent="0.35">
      <c r="A499" s="44"/>
      <c r="B499" s="44"/>
    </row>
    <row r="500" spans="1:2" ht="11.25" customHeight="1" x14ac:dyDescent="0.35">
      <c r="A500" s="44"/>
      <c r="B500" s="44"/>
    </row>
  </sheetData>
  <mergeCells count="2">
    <mergeCell ref="K4:N4"/>
    <mergeCell ref="K5:N5"/>
  </mergeCells>
  <hyperlinks>
    <hyperlink ref="K4" r:id="rId1" display="More help on this report…" xr:uid="{00000000-0004-0000-0400-000000000000}"/>
    <hyperlink ref="K5" r:id="rId2" display="OAK@operis.com" xr:uid="{00000000-0004-0000-0400-000001000000}"/>
    <hyperlink ref="K4:N4" r:id="rId3" display="Need some help? Follow this link" xr:uid="{9ED68FED-5558-43A2-A28A-CEA2293B8C28}"/>
  </hyperlinks>
  <pageMargins left="0.70866141732283472" right="0.70866141732283472" top="0.74803149606299213" bottom="0.74803149606299213" header="0.31496062992125984" footer="0.31496062992125984"/>
  <pageSetup paperSize="9" scale="57" fitToHeight="0" orientation="landscape" r:id="rId4"/>
  <headerFooter>
    <oddHeader>&amp;LOAK Cross References&amp;R&amp;F</oddHeader>
    <oddFooter>&amp;LPage &amp;P of  &amp;N&amp;CGenerated by OAK - Operis Analysis Kit&amp;R&amp;T on &amp;D</oddFooter>
  </headerFooter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D37"/>
  <sheetViews>
    <sheetView showGridLines="0" workbookViewId="0">
      <selection activeCell="C10" sqref="C10"/>
    </sheetView>
  </sheetViews>
  <sheetFormatPr defaultColWidth="4.7265625" defaultRowHeight="14.5" x14ac:dyDescent="0.35"/>
  <cols>
    <col min="1" max="1" width="4.26953125" customWidth="1"/>
    <col min="2" max="12" width="4.7265625" customWidth="1"/>
    <col min="13" max="13" width="1.7265625" customWidth="1"/>
    <col min="14" max="27" width="4.7265625" customWidth="1"/>
  </cols>
  <sheetData>
    <row r="1" spans="1:30" s="66" customFormat="1" ht="15" customHeight="1" x14ac:dyDescent="0.3">
      <c r="J1" s="69"/>
      <c r="L1" s="69"/>
      <c r="N1" s="69"/>
      <c r="P1" s="69"/>
      <c r="S1" s="69"/>
      <c r="U1" s="69"/>
    </row>
    <row r="2" spans="1:30" s="64" customFormat="1" ht="23" x14ac:dyDescent="0.5">
      <c r="B2" s="7"/>
      <c r="C2" s="7"/>
      <c r="J2" s="65"/>
      <c r="L2" s="65"/>
      <c r="N2" s="65"/>
      <c r="O2" s="7" t="s">
        <v>142</v>
      </c>
      <c r="P2" s="65"/>
      <c r="S2" s="65"/>
      <c r="U2" s="65"/>
      <c r="X2" s="71" t="s">
        <v>126</v>
      </c>
      <c r="Y2" s="71"/>
      <c r="Z2" s="71"/>
      <c r="AA2" s="71"/>
      <c r="AB2" s="73"/>
      <c r="AC2" s="73"/>
      <c r="AD2" s="73"/>
    </row>
    <row r="3" spans="1:30" s="66" customFormat="1" ht="15" customHeight="1" x14ac:dyDescent="0.3">
      <c r="B3" s="63"/>
      <c r="C3" s="7"/>
      <c r="J3" s="69"/>
      <c r="L3" s="69"/>
      <c r="N3" s="69"/>
      <c r="O3" s="7"/>
      <c r="P3" s="69"/>
      <c r="S3" s="69"/>
      <c r="U3" s="69"/>
      <c r="X3" s="74" t="s">
        <v>125</v>
      </c>
      <c r="Y3" s="74"/>
      <c r="Z3" s="74"/>
      <c r="AA3" s="74"/>
      <c r="AB3" s="72"/>
      <c r="AC3" s="72"/>
      <c r="AD3" s="72"/>
    </row>
    <row r="4" spans="1:30" s="66" customFormat="1" ht="15" customHeight="1" x14ac:dyDescent="0.3">
      <c r="B4" s="63"/>
      <c r="C4" s="6"/>
      <c r="J4" s="69"/>
      <c r="L4" s="69"/>
      <c r="N4" s="69"/>
      <c r="O4" s="6" t="s">
        <v>57</v>
      </c>
      <c r="P4" s="69"/>
      <c r="S4" s="69"/>
      <c r="U4" s="69"/>
    </row>
    <row r="5" spans="1:30" s="66" customFormat="1" ht="15" customHeight="1" x14ac:dyDescent="0.3">
      <c r="B5" s="63"/>
      <c r="C5" s="6"/>
      <c r="J5" s="69"/>
      <c r="L5" s="69"/>
      <c r="N5" s="69"/>
      <c r="O5" s="6" t="s">
        <v>58</v>
      </c>
      <c r="P5" s="69"/>
      <c r="S5" s="69"/>
      <c r="U5" s="69"/>
    </row>
    <row r="6" spans="1:30" s="66" customFormat="1" ht="15.75" customHeight="1" thickBot="1" x14ac:dyDescent="0.35">
      <c r="A6" s="68"/>
      <c r="B6" s="67"/>
      <c r="C6" s="67"/>
      <c r="D6" s="68"/>
      <c r="E6" s="68"/>
      <c r="F6" s="68"/>
      <c r="G6" s="68"/>
      <c r="H6" s="68"/>
      <c r="I6" s="68"/>
      <c r="J6" s="70"/>
      <c r="K6" s="68"/>
      <c r="L6" s="70"/>
      <c r="M6" s="68"/>
      <c r="N6" s="70"/>
      <c r="O6" s="68"/>
      <c r="P6" s="70"/>
      <c r="Q6" s="68"/>
      <c r="R6" s="68"/>
      <c r="S6" s="70"/>
      <c r="T6" s="68"/>
      <c r="U6" s="70"/>
      <c r="V6" s="68"/>
      <c r="W6" s="68"/>
      <c r="X6" s="68"/>
      <c r="Y6" s="68"/>
      <c r="Z6" s="68"/>
      <c r="AA6" s="68"/>
    </row>
    <row r="7" spans="1:30" ht="20.5" thickTop="1" x14ac:dyDescent="0.4">
      <c r="B7" s="22"/>
      <c r="C7" s="22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30" ht="20" x14ac:dyDescent="0.4">
      <c r="B8" s="4" t="s">
        <v>127</v>
      </c>
      <c r="C8" s="22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30" ht="20" x14ac:dyDescent="0.4">
      <c r="B9" s="4" t="s">
        <v>128</v>
      </c>
      <c r="C9" s="22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30" ht="20" x14ac:dyDescent="0.4">
      <c r="B10" s="22"/>
      <c r="C10" s="22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30" s="43" customFormat="1" x14ac:dyDescent="0.35">
      <c r="A11"/>
      <c r="B11" s="44" t="s">
        <v>68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</row>
    <row r="13" spans="1:30" x14ac:dyDescent="0.35">
      <c r="C13" t="s">
        <v>69</v>
      </c>
      <c r="L13" s="30" t="s">
        <v>64</v>
      </c>
      <c r="N13" s="31" t="s">
        <v>65</v>
      </c>
      <c r="P13" t="s">
        <v>70</v>
      </c>
    </row>
    <row r="15" spans="1:30" x14ac:dyDescent="0.35">
      <c r="C15" t="s">
        <v>71</v>
      </c>
      <c r="L15" s="31" t="s">
        <v>66</v>
      </c>
      <c r="N15" s="31" t="s">
        <v>67</v>
      </c>
      <c r="P15" t="s">
        <v>72</v>
      </c>
    </row>
    <row r="17" spans="1:27" x14ac:dyDescent="0.35">
      <c r="C17" s="75" t="s">
        <v>145</v>
      </c>
      <c r="D17" s="75"/>
      <c r="E17" s="75"/>
      <c r="F17" s="75"/>
      <c r="G17" s="75"/>
      <c r="H17" s="75"/>
      <c r="I17" s="75"/>
      <c r="J17" s="75"/>
      <c r="K17" s="75"/>
      <c r="L17" s="76" t="s">
        <v>64</v>
      </c>
      <c r="M17" s="75"/>
      <c r="N17" s="77" t="s">
        <v>65</v>
      </c>
      <c r="O17" s="75"/>
      <c r="P17" s="75" t="s">
        <v>146</v>
      </c>
    </row>
    <row r="19" spans="1:27" x14ac:dyDescent="0.35">
      <c r="C19" s="75" t="s">
        <v>147</v>
      </c>
      <c r="D19" s="75"/>
      <c r="E19" s="75"/>
      <c r="F19" s="75"/>
      <c r="G19" s="75"/>
      <c r="H19" s="75"/>
      <c r="I19" s="75"/>
      <c r="J19" s="75"/>
      <c r="K19" s="75"/>
      <c r="L19" s="77" t="s">
        <v>66</v>
      </c>
      <c r="M19" s="75"/>
      <c r="N19" s="75"/>
      <c r="O19" s="75"/>
      <c r="P19" s="75"/>
    </row>
    <row r="21" spans="1:27" s="43" customFormat="1" x14ac:dyDescent="0.35">
      <c r="A21"/>
      <c r="B21" s="44" t="s">
        <v>73</v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</row>
    <row r="23" spans="1:27" x14ac:dyDescent="0.35">
      <c r="C23" t="s">
        <v>74</v>
      </c>
      <c r="N23" s="32" t="s">
        <v>56</v>
      </c>
    </row>
    <row r="25" spans="1:27" x14ac:dyDescent="0.35">
      <c r="C25" t="s">
        <v>75</v>
      </c>
      <c r="N25" s="33" t="s">
        <v>76</v>
      </c>
    </row>
    <row r="27" spans="1:27" x14ac:dyDescent="0.35">
      <c r="C27" t="s">
        <v>77</v>
      </c>
      <c r="N27" s="34" t="s">
        <v>32</v>
      </c>
    </row>
    <row r="29" spans="1:27" x14ac:dyDescent="0.35">
      <c r="B29" s="44" t="s">
        <v>78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</row>
    <row r="31" spans="1:27" x14ac:dyDescent="0.35">
      <c r="C31" t="s">
        <v>79</v>
      </c>
      <c r="N31" s="25" t="s">
        <v>80</v>
      </c>
    </row>
    <row r="32" spans="1:27" ht="15" thickBot="1" x14ac:dyDescent="0.4"/>
    <row r="33" spans="3:14" ht="15" thickBot="1" x14ac:dyDescent="0.4">
      <c r="C33" t="s">
        <v>81</v>
      </c>
      <c r="N33" s="26"/>
    </row>
    <row r="34" spans="3:14" ht="15" thickBot="1" x14ac:dyDescent="0.4"/>
    <row r="35" spans="3:14" ht="15" thickBot="1" x14ac:dyDescent="0.4">
      <c r="C35" t="s">
        <v>82</v>
      </c>
      <c r="N35" s="35"/>
    </row>
    <row r="37" spans="3:14" x14ac:dyDescent="0.35">
      <c r="C37" t="s">
        <v>83</v>
      </c>
      <c r="N37" s="27"/>
    </row>
  </sheetData>
  <hyperlinks>
    <hyperlink ref="X2" r:id="rId1" xr:uid="{2024FD00-22BE-46A9-B316-87366F43901F}"/>
    <hyperlink ref="X3" r:id="rId2" display="OAK@operis.com" xr:uid="{E4D7807A-3751-42E2-8551-14E3BC5F5D57}"/>
    <hyperlink ref="X2:AA2" r:id="rId3" display="Need some help? Follow this link" xr:uid="{83A10CE8-FC54-44CA-919A-190D1F3BE816}"/>
  </hyperlinks>
  <pageMargins left="0.70866141732283472" right="0.70866141732283472" top="0.74803149606299213" bottom="0.74803149606299213" header="0.31496062992125984" footer="0.31496062992125984"/>
  <pageSetup paperSize="9" orientation="portrait" r:id="rId4"/>
  <headerFooter>
    <oddHeader>&amp;LOAK Map Legend&amp;R&amp;F</oddHeader>
    <oddFooter>&amp;LPage &amp;P of &amp;N&amp;CGenerated by OAK - Operis Analysis Kit&amp;R&amp;T on &amp;D</oddFooter>
  </headerFooter>
  <drawing r:id="rId5"/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"/>
  <sheetViews>
    <sheetView workbookViewId="0"/>
  </sheetViews>
  <sheetFormatPr defaultColWidth="2.7265625"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N8"/>
  <sheetViews>
    <sheetView showGridLines="0" workbookViewId="0">
      <pane ySplit="8" topLeftCell="A9" activePane="bottomLeft" state="frozen"/>
      <selection activeCell="A5" sqref="A5:B5"/>
      <selection pane="bottomLeft" activeCell="A9" sqref="A9"/>
    </sheetView>
  </sheetViews>
  <sheetFormatPr defaultColWidth="9.1796875" defaultRowHeight="14.5" x14ac:dyDescent="0.35"/>
  <cols>
    <col min="1" max="1" width="16.1796875" style="1" customWidth="1"/>
    <col min="2" max="2" width="32.7265625" style="1" customWidth="1"/>
    <col min="3" max="3" width="24.7265625" style="1" customWidth="1"/>
    <col min="4" max="4" width="32.7265625" style="1" customWidth="1"/>
    <col min="5" max="6" width="24.7265625" style="1" customWidth="1"/>
    <col min="7" max="14" width="10.7265625" style="2" customWidth="1"/>
  </cols>
  <sheetData>
    <row r="1" spans="1:14" ht="12" customHeight="1" x14ac:dyDescent="0.35">
      <c r="A1" s="11"/>
      <c r="B1" s="8"/>
      <c r="C1" s="8"/>
      <c r="D1" s="8"/>
      <c r="E1" s="9"/>
      <c r="F1" s="9"/>
      <c r="G1" s="9"/>
      <c r="H1" s="9"/>
      <c r="I1" s="9"/>
      <c r="J1" s="10"/>
      <c r="K1" s="9"/>
      <c r="L1" s="10"/>
      <c r="M1" s="9"/>
      <c r="N1" s="10"/>
    </row>
    <row r="2" spans="1:14" ht="23" x14ac:dyDescent="0.35">
      <c r="A2" s="11"/>
      <c r="B2" s="12"/>
      <c r="C2" s="7" t="s">
        <v>101</v>
      </c>
      <c r="D2" s="7"/>
      <c r="E2" s="9"/>
      <c r="F2" s="9"/>
      <c r="G2" s="9"/>
      <c r="H2" s="9"/>
      <c r="I2" s="9"/>
      <c r="J2" s="10"/>
      <c r="K2" s="9"/>
      <c r="L2" s="10"/>
      <c r="M2" s="9"/>
      <c r="N2" s="10"/>
    </row>
    <row r="3" spans="1:14" ht="6.75" customHeight="1" x14ac:dyDescent="0.35">
      <c r="A3" s="11"/>
      <c r="B3" s="12"/>
      <c r="C3" s="11"/>
      <c r="D3" s="7"/>
      <c r="E3" s="9"/>
      <c r="F3" s="9"/>
      <c r="G3" s="9"/>
      <c r="H3" s="9"/>
      <c r="I3" s="9"/>
      <c r="J3" s="10"/>
      <c r="K3" s="9"/>
      <c r="L3" s="10"/>
      <c r="M3" s="9"/>
      <c r="N3" s="10"/>
    </row>
    <row r="4" spans="1:14" ht="15" customHeight="1" x14ac:dyDescent="0.35">
      <c r="A4" s="11"/>
      <c r="B4" s="12"/>
      <c r="C4" s="6" t="s">
        <v>57</v>
      </c>
      <c r="D4" s="6"/>
      <c r="E4" s="9"/>
      <c r="F4" s="71" t="s">
        <v>126</v>
      </c>
      <c r="G4" s="9"/>
      <c r="H4" s="9"/>
      <c r="I4" s="9"/>
      <c r="J4" s="10"/>
      <c r="K4" s="9"/>
      <c r="L4" s="36"/>
      <c r="M4" s="9"/>
      <c r="N4" s="10"/>
    </row>
    <row r="5" spans="1:14" ht="15" customHeight="1" x14ac:dyDescent="0.35">
      <c r="A5" s="11"/>
      <c r="B5" s="12"/>
      <c r="C5" s="6" t="s">
        <v>58</v>
      </c>
      <c r="D5" s="6"/>
      <c r="E5" s="9"/>
      <c r="F5" s="29" t="s">
        <v>125</v>
      </c>
      <c r="G5" s="9"/>
      <c r="H5" s="9"/>
      <c r="I5" s="9"/>
      <c r="J5" s="10"/>
      <c r="K5" s="9"/>
      <c r="L5" s="29"/>
      <c r="M5" s="9"/>
      <c r="N5" s="10"/>
    </row>
    <row r="6" spans="1:14" ht="12" customHeight="1" thickBot="1" x14ac:dyDescent="0.4">
      <c r="A6" s="39"/>
      <c r="B6" s="40"/>
      <c r="C6" s="40"/>
      <c r="D6" s="41"/>
      <c r="E6" s="42"/>
      <c r="F6" s="42"/>
      <c r="G6" s="42"/>
      <c r="H6" s="42"/>
      <c r="I6" s="42"/>
      <c r="J6" s="46"/>
      <c r="K6" s="42"/>
      <c r="L6" s="46"/>
      <c r="M6" s="42"/>
      <c r="N6" s="46"/>
    </row>
    <row r="7" spans="1:14" ht="15" thickTop="1" x14ac:dyDescent="0.35"/>
    <row r="8" spans="1:14" x14ac:dyDescent="0.35">
      <c r="A8" s="48" t="s">
        <v>84</v>
      </c>
      <c r="B8" s="44" t="s">
        <v>85</v>
      </c>
      <c r="C8" s="44" t="s">
        <v>86</v>
      </c>
      <c r="D8" s="44" t="s">
        <v>23</v>
      </c>
      <c r="E8" s="48" t="s">
        <v>87</v>
      </c>
      <c r="F8" s="48" t="s">
        <v>19</v>
      </c>
      <c r="G8" s="48" t="s">
        <v>88</v>
      </c>
      <c r="H8" s="48" t="s">
        <v>89</v>
      </c>
      <c r="I8" s="48" t="s">
        <v>90</v>
      </c>
      <c r="J8" s="48" t="s">
        <v>91</v>
      </c>
      <c r="K8" s="48" t="s">
        <v>92</v>
      </c>
      <c r="L8" s="48" t="s">
        <v>93</v>
      </c>
      <c r="M8" s="48" t="s">
        <v>94</v>
      </c>
      <c r="N8" s="48" t="s">
        <v>95</v>
      </c>
    </row>
  </sheetData>
  <autoFilter ref="A8:N8" xr:uid="{00000000-0009-0000-0000-000007000000}"/>
  <hyperlinks>
    <hyperlink ref="F4" r:id="rId1" xr:uid="{00000000-0004-0000-0700-000000000000}"/>
    <hyperlink ref="F5" r:id="rId2" display="OAK@operis.com" xr:uid="{00000000-0004-0000-0700-000001000000}"/>
  </hyperlinks>
  <pageMargins left="0.70866141732283472" right="0.70866141732283472" top="0.74803149606299213" bottom="0.74803149606299213" header="0.31496062992125984" footer="0.31496062992125984"/>
  <pageSetup paperSize="9" scale="50" fitToHeight="0" orientation="landscape" r:id="rId3"/>
  <headerFooter>
    <oddHeader>&amp;LOAK Range Names&amp;R&amp;F</oddHeader>
    <oddFooter>&amp;LPage &amp;P of &amp;N&amp;CGenerated by OAK - Operis Analysis Kit&amp;R&amp;T on &amp;D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8"/>
  <sheetViews>
    <sheetView showGridLines="0" workbookViewId="0">
      <selection activeCell="A9" sqref="A9"/>
    </sheetView>
  </sheetViews>
  <sheetFormatPr defaultColWidth="9.1796875" defaultRowHeight="14.5" x14ac:dyDescent="0.35"/>
  <cols>
    <col min="1" max="1" width="1.7265625" customWidth="1"/>
    <col min="2" max="5" width="32.7265625" customWidth="1"/>
    <col min="6" max="6" width="31.7265625" customWidth="1"/>
  </cols>
  <sheetData>
    <row r="1" spans="1:6" ht="12" customHeight="1" x14ac:dyDescent="0.35">
      <c r="A1" s="11"/>
      <c r="B1" s="8"/>
      <c r="C1" s="8"/>
      <c r="D1" s="8"/>
      <c r="E1" s="9"/>
      <c r="F1" s="9"/>
    </row>
    <row r="2" spans="1:6" ht="23" x14ac:dyDescent="0.35">
      <c r="A2" s="11"/>
      <c r="B2" s="12"/>
      <c r="C2" s="7" t="s">
        <v>102</v>
      </c>
      <c r="D2" s="7"/>
      <c r="E2" s="9"/>
      <c r="F2" s="9"/>
    </row>
    <row r="3" spans="1:6" ht="6.75" customHeight="1" x14ac:dyDescent="0.35">
      <c r="A3" s="11"/>
      <c r="B3" s="12"/>
      <c r="C3" s="11"/>
      <c r="D3" s="7"/>
      <c r="E3" s="9"/>
      <c r="F3" s="9"/>
    </row>
    <row r="4" spans="1:6" ht="15" customHeight="1" x14ac:dyDescent="0.35">
      <c r="A4" s="11"/>
      <c r="B4" s="12"/>
      <c r="C4" s="6" t="s">
        <v>57</v>
      </c>
      <c r="D4" s="6"/>
      <c r="E4" s="9"/>
      <c r="F4" s="71" t="s">
        <v>126</v>
      </c>
    </row>
    <row r="5" spans="1:6" ht="15" customHeight="1" x14ac:dyDescent="0.35">
      <c r="A5" s="11"/>
      <c r="B5" s="12"/>
      <c r="C5" s="6" t="s">
        <v>58</v>
      </c>
      <c r="D5" s="6"/>
      <c r="E5" s="9"/>
      <c r="F5" s="29" t="s">
        <v>125</v>
      </c>
    </row>
    <row r="6" spans="1:6" ht="12" customHeight="1" thickBot="1" x14ac:dyDescent="0.4">
      <c r="A6" s="39"/>
      <c r="B6" s="40"/>
      <c r="C6" s="40"/>
      <c r="D6" s="41"/>
      <c r="E6" s="42"/>
      <c r="F6" s="42"/>
    </row>
    <row r="7" spans="1:6" ht="15" thickTop="1" x14ac:dyDescent="0.35"/>
    <row r="8" spans="1:6" x14ac:dyDescent="0.35">
      <c r="A8" s="48"/>
      <c r="B8" s="44" t="s">
        <v>96</v>
      </c>
      <c r="C8" s="44" t="s">
        <v>97</v>
      </c>
      <c r="D8" s="44" t="s">
        <v>98</v>
      </c>
      <c r="E8" s="48" t="s">
        <v>99</v>
      </c>
      <c r="F8" s="48" t="s">
        <v>100</v>
      </c>
    </row>
  </sheetData>
  <hyperlinks>
    <hyperlink ref="F4" r:id="rId1" xr:uid="{00000000-0004-0000-0800-000000000000}"/>
    <hyperlink ref="F5" r:id="rId2" display="OAK@operis.com" xr:uid="{00000000-0004-0000-0800-000001000000}"/>
  </hyperlinks>
  <pageMargins left="0.70866141732283472" right="0.70866141732283472" top="0.74803149606299213" bottom="0.74803149606299213" header="0.31496062992125984" footer="0.31496062992125984"/>
  <pageSetup paperSize="9" scale="79" fitToHeight="0" orientation="landscape" r:id="rId3"/>
  <headerFooter>
    <oddHeader>&amp;LOAK Overlapping Range Names&amp;R&amp;F</oddHeader>
    <oddFooter>&amp;LPage &amp;P of &amp;N&amp;CGenerated by OAK - Operis Analysis Kit&amp;R&amp;T on &amp;D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G9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9.1796875" defaultRowHeight="14.5" x14ac:dyDescent="0.35"/>
  <cols>
    <col min="1" max="1" width="4.26953125" style="1" customWidth="1"/>
    <col min="2" max="3" width="45.7265625" style="1" customWidth="1"/>
    <col min="4" max="5" width="16.7265625" style="1" customWidth="1"/>
    <col min="6" max="6" width="22.81640625" style="1" customWidth="1"/>
    <col min="7" max="7" width="48.7265625" customWidth="1"/>
  </cols>
  <sheetData>
    <row r="1" spans="1:7" ht="12" customHeight="1" x14ac:dyDescent="0.35">
      <c r="A1" s="11"/>
      <c r="B1" s="11"/>
      <c r="C1" s="8"/>
      <c r="D1" s="8"/>
      <c r="E1" s="8"/>
      <c r="F1" s="9"/>
      <c r="G1" s="9"/>
    </row>
    <row r="2" spans="1:7" ht="23" x14ac:dyDescent="0.35">
      <c r="A2" s="11"/>
      <c r="B2" s="11"/>
      <c r="C2" s="7" t="s">
        <v>108</v>
      </c>
      <c r="D2" s="11"/>
      <c r="E2" s="7"/>
      <c r="F2" s="9"/>
      <c r="G2" s="9"/>
    </row>
    <row r="3" spans="1:7" ht="6.75" customHeight="1" x14ac:dyDescent="0.35">
      <c r="A3" s="11"/>
      <c r="B3" s="11"/>
      <c r="C3" s="7"/>
      <c r="D3" s="11"/>
      <c r="E3" s="7"/>
      <c r="F3" s="9"/>
      <c r="G3" s="9"/>
    </row>
    <row r="4" spans="1:7" ht="15" customHeight="1" x14ac:dyDescent="0.35">
      <c r="A4" s="11"/>
      <c r="B4" s="11"/>
      <c r="C4" s="6" t="s">
        <v>57</v>
      </c>
      <c r="D4" s="11"/>
      <c r="E4" s="6"/>
      <c r="F4" s="9"/>
      <c r="G4" s="9"/>
    </row>
    <row r="5" spans="1:7" ht="15" customHeight="1" x14ac:dyDescent="0.35">
      <c r="A5" s="11"/>
      <c r="B5" s="11"/>
      <c r="C5" s="6" t="s">
        <v>109</v>
      </c>
      <c r="D5" s="11"/>
      <c r="E5" s="71" t="s">
        <v>126</v>
      </c>
      <c r="F5" s="28"/>
      <c r="G5" s="28"/>
    </row>
    <row r="6" spans="1:7" ht="15" customHeight="1" x14ac:dyDescent="0.35">
      <c r="A6" s="11"/>
      <c r="B6" s="11"/>
      <c r="C6" s="6" t="s">
        <v>58</v>
      </c>
      <c r="D6" s="11"/>
      <c r="E6" s="29" t="s">
        <v>125</v>
      </c>
      <c r="F6" s="6"/>
      <c r="G6" s="6"/>
    </row>
    <row r="7" spans="1:7" ht="12" customHeight="1" thickBot="1" x14ac:dyDescent="0.4">
      <c r="A7" s="39"/>
      <c r="B7" s="39"/>
      <c r="C7" s="51"/>
      <c r="D7" s="40"/>
      <c r="E7" s="51"/>
      <c r="F7" s="52"/>
      <c r="G7" s="52"/>
    </row>
    <row r="8" spans="1:7" ht="15" thickTop="1" x14ac:dyDescent="0.35">
      <c r="A8" s="4"/>
      <c r="B8" s="4"/>
      <c r="C8" s="4"/>
      <c r="D8" s="4"/>
      <c r="E8" s="4"/>
      <c r="F8" s="4"/>
      <c r="G8" s="4"/>
    </row>
    <row r="9" spans="1:7" x14ac:dyDescent="0.35">
      <c r="A9" s="48"/>
      <c r="B9" s="48" t="s">
        <v>103</v>
      </c>
      <c r="C9" s="44" t="s">
        <v>104</v>
      </c>
      <c r="D9" s="44" t="s">
        <v>105</v>
      </c>
      <c r="E9" s="44" t="s">
        <v>106</v>
      </c>
      <c r="F9" s="48" t="s">
        <v>107</v>
      </c>
      <c r="G9" s="48"/>
    </row>
  </sheetData>
  <hyperlinks>
    <hyperlink ref="E5" r:id="rId1" xr:uid="{00000000-0004-0000-0900-000000000000}"/>
    <hyperlink ref="E6" r:id="rId2" display="OAK@operis.com" xr:uid="{00000000-0004-0000-0900-000001000000}"/>
  </hyperlinks>
  <pageMargins left="0.70866141732283472" right="0.70866141732283472" top="0.74803149606299213" bottom="0.74803149606299213" header="0.31496062992125984" footer="0.31496062992125984"/>
  <pageSetup paperSize="9" scale="88" fitToHeight="0" orientation="landscape" r:id="rId3"/>
  <headerFooter>
    <oddHeader>&amp;LOAK Comparison Summary&amp;R&amp;F</oddHeader>
    <oddFooter>&amp;LPage &amp;P of &amp;N&amp;CGenerated by OAK - Operis Analysis Kit&amp;R&amp;T on &amp;D</oddFooter>
  </headerFooter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H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ColWidth="9.1796875" defaultRowHeight="14.5" x14ac:dyDescent="0.35"/>
  <cols>
    <col min="1" max="1" width="4.26953125" style="1" customWidth="1"/>
    <col min="2" max="2" width="33.7265625" style="1" customWidth="1"/>
    <col min="3" max="3" width="30.7265625" style="1" customWidth="1"/>
    <col min="4" max="4" width="10.7265625" style="1" customWidth="1"/>
    <col min="5" max="8" width="25.7265625" style="1" customWidth="1"/>
  </cols>
  <sheetData>
    <row r="1" spans="1:8" ht="12" customHeight="1" x14ac:dyDescent="0.35">
      <c r="A1" s="11"/>
      <c r="B1" s="11"/>
      <c r="C1" s="8"/>
      <c r="D1" s="8"/>
      <c r="E1" s="8"/>
      <c r="F1" s="9"/>
      <c r="G1" s="9"/>
      <c r="H1" s="9"/>
    </row>
    <row r="2" spans="1:8" ht="23" x14ac:dyDescent="0.35">
      <c r="A2" s="11"/>
      <c r="B2" s="11"/>
      <c r="C2" s="7" t="s">
        <v>116</v>
      </c>
      <c r="D2" s="11"/>
      <c r="E2" s="7"/>
      <c r="F2" s="9"/>
      <c r="G2" s="9"/>
      <c r="H2" s="9"/>
    </row>
    <row r="3" spans="1:8" ht="6.75" customHeight="1" x14ac:dyDescent="0.35">
      <c r="A3" s="11"/>
      <c r="B3" s="11"/>
      <c r="C3" s="7"/>
      <c r="D3" s="11"/>
      <c r="E3" s="7"/>
      <c r="F3" s="9"/>
      <c r="G3" s="9"/>
      <c r="H3" s="9"/>
    </row>
    <row r="4" spans="1:8" ht="15" customHeight="1" x14ac:dyDescent="0.35">
      <c r="A4" s="11"/>
      <c r="B4" s="11"/>
      <c r="C4" s="6" t="s">
        <v>57</v>
      </c>
      <c r="D4" s="11"/>
      <c r="E4" s="6"/>
      <c r="F4" s="9"/>
      <c r="G4" s="9"/>
      <c r="H4" s="9"/>
    </row>
    <row r="5" spans="1:8" ht="15" customHeight="1" x14ac:dyDescent="0.35">
      <c r="A5" s="11"/>
      <c r="B5" s="11"/>
      <c r="C5" s="6" t="s">
        <v>109</v>
      </c>
      <c r="D5" s="11"/>
      <c r="E5" s="6"/>
      <c r="F5" s="9"/>
      <c r="G5" s="71" t="s">
        <v>126</v>
      </c>
      <c r="H5" s="9"/>
    </row>
    <row r="6" spans="1:8" ht="15" customHeight="1" x14ac:dyDescent="0.35">
      <c r="A6" s="11"/>
      <c r="B6" s="11"/>
      <c r="C6" s="6" t="s">
        <v>58</v>
      </c>
      <c r="D6" s="11"/>
      <c r="E6" s="6"/>
      <c r="F6" s="28"/>
      <c r="G6" s="29" t="s">
        <v>125</v>
      </c>
      <c r="H6" s="9"/>
    </row>
    <row r="7" spans="1:8" ht="12" customHeight="1" thickBot="1" x14ac:dyDescent="0.4">
      <c r="A7" s="39"/>
      <c r="B7" s="39"/>
      <c r="C7" s="51"/>
      <c r="D7" s="40"/>
      <c r="E7" s="41"/>
      <c r="F7" s="42"/>
      <c r="G7" s="42"/>
      <c r="H7" s="42"/>
    </row>
    <row r="8" spans="1:8" ht="15" thickTop="1" x14ac:dyDescent="0.35">
      <c r="A8" s="4"/>
      <c r="B8" s="4"/>
      <c r="C8" s="4"/>
      <c r="D8" s="4"/>
      <c r="E8" s="4"/>
      <c r="F8" s="4"/>
      <c r="G8" s="4"/>
      <c r="H8" s="4"/>
    </row>
    <row r="9" spans="1:8" x14ac:dyDescent="0.35">
      <c r="A9" s="48"/>
      <c r="B9" s="48" t="s">
        <v>31</v>
      </c>
      <c r="C9" s="44" t="s">
        <v>110</v>
      </c>
      <c r="D9" s="44" t="s">
        <v>111</v>
      </c>
      <c r="E9" s="44" t="s">
        <v>112</v>
      </c>
      <c r="F9" s="48" t="s">
        <v>113</v>
      </c>
      <c r="G9" s="48" t="s">
        <v>114</v>
      </c>
      <c r="H9" s="48" t="s">
        <v>115</v>
      </c>
    </row>
  </sheetData>
  <hyperlinks>
    <hyperlink ref="G5" r:id="rId1" xr:uid="{00000000-0004-0000-0A00-000000000000}"/>
    <hyperlink ref="G6" r:id="rId2" display="OAK@operis.com" xr:uid="{00000000-0004-0000-0A00-000001000000}"/>
  </hyperlinks>
  <pageMargins left="0.70866141732283472" right="0.70866141732283472" top="0.74803149606299213" bottom="0.74803149606299213" header="0.31496062992125984" footer="0.31496062992125984"/>
  <pageSetup paperSize="9" scale="73" fitToHeight="0" orientation="landscape" r:id="rId3"/>
  <headerFooter>
    <oddHeader>&amp;LOAK Comparison of Names&amp;R&amp;F</oddHeader>
    <oddFooter>&amp;LPage &amp;P of &amp;N&amp;CGenerated by OAK - Operis Analysis Kit&amp;R&amp;T on &amp;D</oddFooter>
  </headerFooter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E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ColWidth="9.1796875" defaultRowHeight="14.5" x14ac:dyDescent="0.35"/>
  <cols>
    <col min="1" max="1" width="4.26953125" style="1" customWidth="1"/>
    <col min="2" max="2" width="30.7265625" style="1" customWidth="1"/>
    <col min="3" max="3" width="21.7265625" style="1" customWidth="1"/>
    <col min="4" max="4" width="50.7265625" style="1" customWidth="1"/>
    <col min="5" max="5" width="54.81640625" style="1" customWidth="1"/>
  </cols>
  <sheetData>
    <row r="1" spans="1:5" ht="12" customHeight="1" x14ac:dyDescent="0.35">
      <c r="A1" s="11"/>
      <c r="B1" s="11"/>
      <c r="C1" s="8"/>
      <c r="D1" s="8"/>
      <c r="E1" s="8"/>
    </row>
    <row r="2" spans="1:5" ht="23" x14ac:dyDescent="0.35">
      <c r="A2" s="11"/>
      <c r="B2" s="11"/>
      <c r="C2" s="7" t="s">
        <v>121</v>
      </c>
      <c r="D2" s="11"/>
      <c r="E2" s="7" t="s">
        <v>122</v>
      </c>
    </row>
    <row r="3" spans="1:5" ht="6.75" customHeight="1" x14ac:dyDescent="0.35">
      <c r="A3" s="11"/>
      <c r="B3" s="11"/>
      <c r="C3" s="7"/>
      <c r="D3" s="11"/>
      <c r="E3" s="7"/>
    </row>
    <row r="4" spans="1:5" ht="15" customHeight="1" x14ac:dyDescent="0.35">
      <c r="A4" s="11"/>
      <c r="B4" s="11"/>
      <c r="C4" s="6" t="s">
        <v>124</v>
      </c>
      <c r="D4" s="11"/>
      <c r="E4" s="6"/>
    </row>
    <row r="5" spans="1:5" ht="15" customHeight="1" x14ac:dyDescent="0.35">
      <c r="A5" s="11"/>
      <c r="B5" s="11"/>
      <c r="C5" s="6" t="s">
        <v>123</v>
      </c>
      <c r="D5" s="11"/>
      <c r="E5" s="71" t="s">
        <v>126</v>
      </c>
    </row>
    <row r="6" spans="1:5" ht="15" customHeight="1" x14ac:dyDescent="0.35">
      <c r="A6" s="11"/>
      <c r="B6" s="11"/>
      <c r="C6" s="6" t="s">
        <v>58</v>
      </c>
      <c r="D6" s="11"/>
      <c r="E6" s="29" t="s">
        <v>125</v>
      </c>
    </row>
    <row r="7" spans="1:5" ht="12" customHeight="1" thickBot="1" x14ac:dyDescent="0.4">
      <c r="A7" s="39"/>
      <c r="B7" s="39"/>
      <c r="C7" s="51"/>
      <c r="D7" s="40"/>
      <c r="E7" s="41"/>
    </row>
    <row r="8" spans="1:5" ht="15" thickTop="1" x14ac:dyDescent="0.35"/>
    <row r="9" spans="1:5" x14ac:dyDescent="0.35">
      <c r="A9" s="48"/>
      <c r="B9" s="48" t="s">
        <v>117</v>
      </c>
      <c r="C9" s="44" t="s">
        <v>118</v>
      </c>
      <c r="D9" s="44" t="s">
        <v>119</v>
      </c>
      <c r="E9" s="44" t="s">
        <v>120</v>
      </c>
    </row>
  </sheetData>
  <hyperlinks>
    <hyperlink ref="D9" location="'[DCLG demo.xls]C (SB)'!$A$1" display="'[DCLG demo.xls]C (SB)'!$A$1" xr:uid="{00000000-0004-0000-0B00-000000000000}"/>
    <hyperlink ref="E9" location="'[DCLG demo compare.xlsx]C (SB)'!$A$1" display="'[DCLG demo compare.xlsx]C (SB)'!$A$1" xr:uid="{00000000-0004-0000-0B00-000001000000}"/>
    <hyperlink ref="E5" r:id="rId1" xr:uid="{00000000-0004-0000-0B00-000002000000}"/>
    <hyperlink ref="E6" r:id="rId2" display="OAK@operis.com" xr:uid="{00000000-0004-0000-0B00-000003000000}"/>
  </hyperlinks>
  <pageMargins left="0.70866141732283472" right="0.70866141732283472" top="0.74803149606299213" bottom="0.74803149606299213" header="0.31496062992125984" footer="0.31496062992125984"/>
  <pageSetup paperSize="9" scale="82" fitToHeight="0" orientation="landscape" r:id="rId3"/>
  <headerFooter>
    <oddHeader>&amp;LOAK Compare Report&amp;R&amp;F</oddHeader>
    <oddFooter>&amp;LPage &amp;P of &amp;N&amp;CGenerated by OAK - Operis Analysis Kit&amp;R&amp;T on &amp;D</oddFooter>
  </headerFooter>
  <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F9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9.1796875" defaultRowHeight="14.5" x14ac:dyDescent="0.35"/>
  <cols>
    <col min="1" max="1" width="4.26953125" style="1" customWidth="1"/>
    <col min="2" max="2" width="30.7265625" style="1" customWidth="1"/>
    <col min="3" max="3" width="21.7265625" style="1" customWidth="1"/>
    <col min="4" max="4" width="25.7265625" style="1" customWidth="1"/>
    <col min="5" max="6" width="50.7265625" style="1" customWidth="1"/>
  </cols>
  <sheetData>
    <row r="1" spans="1:6" ht="12" customHeight="1" x14ac:dyDescent="0.35">
      <c r="A1" s="11"/>
      <c r="B1" s="11"/>
      <c r="C1" s="8"/>
      <c r="D1" s="8"/>
      <c r="E1" s="8"/>
      <c r="F1" s="8"/>
    </row>
    <row r="2" spans="1:6" ht="23" x14ac:dyDescent="0.35">
      <c r="A2" s="11"/>
      <c r="B2" s="11"/>
      <c r="C2" s="7" t="s">
        <v>136</v>
      </c>
      <c r="D2" s="11"/>
      <c r="E2" s="7"/>
      <c r="F2" s="7" t="s">
        <v>137</v>
      </c>
    </row>
    <row r="3" spans="1:6" ht="6.75" customHeight="1" x14ac:dyDescent="0.35">
      <c r="A3" s="11"/>
      <c r="B3" s="11"/>
      <c r="C3" s="7"/>
      <c r="D3" s="11"/>
      <c r="E3" s="7"/>
      <c r="F3" s="7"/>
    </row>
    <row r="4" spans="1:6" ht="15" customHeight="1" x14ac:dyDescent="0.35">
      <c r="A4" s="11"/>
      <c r="B4" s="11"/>
      <c r="C4" s="6" t="s">
        <v>138</v>
      </c>
      <c r="D4" s="11"/>
      <c r="E4" s="6"/>
      <c r="F4" s="6"/>
    </row>
    <row r="5" spans="1:6" ht="15" customHeight="1" x14ac:dyDescent="0.35">
      <c r="A5" s="11"/>
      <c r="B5" s="11"/>
      <c r="C5" s="6" t="s">
        <v>139</v>
      </c>
      <c r="D5" s="11"/>
      <c r="E5" s="36"/>
      <c r="F5" s="71" t="s">
        <v>126</v>
      </c>
    </row>
    <row r="6" spans="1:6" ht="15" customHeight="1" x14ac:dyDescent="0.35">
      <c r="A6" s="11"/>
      <c r="B6" s="11"/>
      <c r="C6" s="6" t="s">
        <v>58</v>
      </c>
      <c r="D6" s="11"/>
      <c r="E6" s="29"/>
      <c r="F6" s="29" t="s">
        <v>125</v>
      </c>
    </row>
    <row r="7" spans="1:6" ht="12" customHeight="1" thickBot="1" x14ac:dyDescent="0.4">
      <c r="A7" s="39"/>
      <c r="B7" s="39"/>
      <c r="C7" s="51"/>
      <c r="D7" s="40"/>
      <c r="E7" s="41"/>
      <c r="F7" s="41"/>
    </row>
    <row r="8" spans="1:6" ht="15" thickTop="1" x14ac:dyDescent="0.35">
      <c r="F8"/>
    </row>
    <row r="9" spans="1:6" x14ac:dyDescent="0.35">
      <c r="A9" s="48"/>
      <c r="B9" s="48" t="s">
        <v>132</v>
      </c>
      <c r="C9" s="44" t="s">
        <v>133</v>
      </c>
      <c r="D9" s="44" t="s">
        <v>118</v>
      </c>
      <c r="E9" s="44" t="s">
        <v>134</v>
      </c>
      <c r="F9" s="44" t="s">
        <v>135</v>
      </c>
    </row>
  </sheetData>
  <hyperlinks>
    <hyperlink ref="F5" r:id="rId1" xr:uid="{00000000-0004-0000-0C00-000000000000}"/>
    <hyperlink ref="F6" r:id="rId2" display="OAK@operis.com" xr:uid="{00000000-0004-0000-0C00-000001000000}"/>
  </hyperlinks>
  <pageMargins left="0.7" right="0.7" top="0.75" bottom="0.75" header="0.3" footer="0.3"/>
  <pageSetup paperSize="9" fitToHeight="0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OAK Workbook Summary</vt:lpstr>
      <vt:lpstr>OAK Distinct Formulas</vt:lpstr>
      <vt:lpstr>OAK Referred Constants</vt:lpstr>
      <vt:lpstr>OAK Risk Analysis</vt:lpstr>
      <vt:lpstr>OAK Cross-References</vt:lpstr>
      <vt:lpstr>Map- Cover Page</vt:lpstr>
      <vt:lpstr>Map-</vt:lpstr>
      <vt:lpstr>Name Database</vt:lpstr>
      <vt:lpstr>Overlapping Ranges</vt:lpstr>
      <vt:lpstr>OAK Comparison Summary</vt:lpstr>
      <vt:lpstr>OAK Name Comparison</vt:lpstr>
      <vt:lpstr>Compare-</vt:lpstr>
      <vt:lpstr>OAK Range Comparison</vt:lpstr>
      <vt:lpstr>'OAK Workbook Summary'!Print_Area</vt:lpstr>
      <vt:lpstr>'Compare-'!Print_Titles</vt:lpstr>
      <vt:lpstr>'Name Database'!Print_Titles</vt:lpstr>
      <vt:lpstr>'OAK Comparison Summary'!Print_Titles</vt:lpstr>
      <vt:lpstr>'OAK Cross-References'!Print_Titles</vt:lpstr>
      <vt:lpstr>'OAK Distinct Formulas'!Print_Titles</vt:lpstr>
      <vt:lpstr>'OAK Name Comparison'!Print_Titles</vt:lpstr>
      <vt:lpstr>'OAK Referred Constants'!Print_Titles</vt:lpstr>
      <vt:lpstr>'OAK Risk Analysis'!Print_Titles</vt:lpstr>
      <vt:lpstr>'OAK Workbook Summary'!Print_Titles</vt:lpstr>
      <vt:lpstr>'Overlapping Ranges'!Print_Titles</vt:lpstr>
      <vt:lpstr>'OAK Risk Analysis'!Weights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Ayling</dc:creator>
  <cp:lastModifiedBy>Simeon Ayling</cp:lastModifiedBy>
  <cp:lastPrinted>2020-06-05T08:16:39Z</cp:lastPrinted>
  <dcterms:created xsi:type="dcterms:W3CDTF">2014-11-12T09:44:38Z</dcterms:created>
  <dcterms:modified xsi:type="dcterms:W3CDTF">2021-03-17T11:23:10Z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983F2E42A3FE4cb7A7C3F4AE850331C4">
    <vt:lpwstr/>
  </property>
</Properties>
</file>